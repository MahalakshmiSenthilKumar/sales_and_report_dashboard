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6300" firstSheet="1" activeTab="1"/>
  </bookViews>
  <sheets>
    <sheet name="Sheet2" sheetId="3" r:id="rId1"/>
    <sheet name="compare sales and order" sheetId="2" r:id="rId2"/>
    <sheet name="men vs women" sheetId="5" r:id="rId3"/>
    <sheet name="project dataset" sheetId="1" r:id="rId4"/>
    <sheet name="Dasboard" sheetId="4" r:id="rId5"/>
    <sheet name="Sheet1" sheetId="6" r:id="rId6"/>
  </sheets>
  <definedNames>
    <definedName name="_xlnm._FilterDatabase" localSheetId="3" hidden="1">'project dataset'!$B$1:$U$146</definedName>
  </definedName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<sst xmlns="http://schemas.openxmlformats.org/spreadsheetml/2006/main" count="1957" uniqueCount="240">
  <si>
    <t>Index</t>
  </si>
  <si>
    <t>Order id</t>
  </si>
  <si>
    <t>Cust id</t>
  </si>
  <si>
    <t>Gender</t>
  </si>
  <si>
    <t>Age</t>
  </si>
  <si>
    <t>Age group</t>
  </si>
  <si>
    <t>Date</t>
  </si>
  <si>
    <t>month</t>
  </si>
  <si>
    <t>Status</t>
  </si>
  <si>
    <t>Channel</t>
  </si>
  <si>
    <t>Sku</t>
  </si>
  <si>
    <t>Size</t>
  </si>
  <si>
    <t>Category</t>
  </si>
  <si>
    <t>Qty</t>
  </si>
  <si>
    <t>currency</t>
  </si>
  <si>
    <t>Amount</t>
  </si>
  <si>
    <t>Ship-city</t>
  </si>
  <si>
    <t>state</t>
  </si>
  <si>
    <t>Ship-postal-code</t>
  </si>
  <si>
    <t>Ship-count</t>
  </si>
  <si>
    <t>B26</t>
  </si>
  <si>
    <t>C029</t>
  </si>
  <si>
    <t>Men</t>
  </si>
  <si>
    <t>teen</t>
  </si>
  <si>
    <t>January</t>
  </si>
  <si>
    <t>Return</t>
  </si>
  <si>
    <t>Ajio</t>
  </si>
  <si>
    <t>JK-RED-M-139</t>
  </si>
  <si>
    <t>XL</t>
  </si>
  <si>
    <t>Set</t>
  </si>
  <si>
    <t>INR</t>
  </si>
  <si>
    <t>HYDERBAD</t>
  </si>
  <si>
    <t>Andhra Pradesh</t>
  </si>
  <si>
    <t>IN</t>
  </si>
  <si>
    <t>C030</t>
  </si>
  <si>
    <t>SH-GRN-S-139</t>
  </si>
  <si>
    <t>M</t>
  </si>
  <si>
    <t>Arunachal Pradesh</t>
  </si>
  <si>
    <t>C031</t>
  </si>
  <si>
    <t>TS-BLK-XL-139</t>
  </si>
  <si>
    <t>S</t>
  </si>
  <si>
    <t>Assam</t>
  </si>
  <si>
    <t>C032</t>
  </si>
  <si>
    <t>Adult</t>
  </si>
  <si>
    <t>Refund</t>
  </si>
  <si>
    <t>SW-YLW-L-139</t>
  </si>
  <si>
    <t>L</t>
  </si>
  <si>
    <t>Bihar</t>
  </si>
  <si>
    <t>C033</t>
  </si>
  <si>
    <t>TS-WHT-M-139</t>
  </si>
  <si>
    <t>Chhattisgarh</t>
  </si>
  <si>
    <t>C034</t>
  </si>
  <si>
    <t>SH-BLU-L-139</t>
  </si>
  <si>
    <t>Goa</t>
  </si>
  <si>
    <t>C035</t>
  </si>
  <si>
    <t>HD-GRY-XL-139</t>
  </si>
  <si>
    <t>Gujarat</t>
  </si>
  <si>
    <t>C036</t>
  </si>
  <si>
    <t xml:space="preserve">Senior </t>
  </si>
  <si>
    <t>PN-BLK-32-139</t>
  </si>
  <si>
    <t>Haryana</t>
  </si>
  <si>
    <t>C037</t>
  </si>
  <si>
    <t>mynta</t>
  </si>
  <si>
    <t>kurta</t>
  </si>
  <si>
    <t>Himachal Pradesh</t>
  </si>
  <si>
    <t>C038</t>
  </si>
  <si>
    <t>Jharkhand</t>
  </si>
  <si>
    <t>C039</t>
  </si>
  <si>
    <t>KUWAIT</t>
  </si>
  <si>
    <t>Karnataka</t>
  </si>
  <si>
    <t>C040</t>
  </si>
  <si>
    <t>Kerala</t>
  </si>
  <si>
    <t>C041</t>
  </si>
  <si>
    <t>Madhya Pradesh</t>
  </si>
  <si>
    <t>C042</t>
  </si>
  <si>
    <t>Maharashtra</t>
  </si>
  <si>
    <t>C043</t>
  </si>
  <si>
    <t>Manipur</t>
  </si>
  <si>
    <t>C044</t>
  </si>
  <si>
    <t>Meghalaya</t>
  </si>
  <si>
    <t>C045</t>
  </si>
  <si>
    <t>Mizoram</t>
  </si>
  <si>
    <t>C046</t>
  </si>
  <si>
    <t>Nagaland</t>
  </si>
  <si>
    <t>C047</t>
  </si>
  <si>
    <t>Odisha</t>
  </si>
  <si>
    <t>C048</t>
  </si>
  <si>
    <t>Punjab</t>
  </si>
  <si>
    <t>C049</t>
  </si>
  <si>
    <t>Rajasthan</t>
  </si>
  <si>
    <t>C050</t>
  </si>
  <si>
    <t>Sikkim</t>
  </si>
  <si>
    <t>C051</t>
  </si>
  <si>
    <t>Tamil Nadu</t>
  </si>
  <si>
    <t>C052</t>
  </si>
  <si>
    <t>Telangana</t>
  </si>
  <si>
    <t>C053</t>
  </si>
  <si>
    <t>Tripura</t>
  </si>
  <si>
    <t>C054</t>
  </si>
  <si>
    <t>Uttar Pradesh</t>
  </si>
  <si>
    <t>C055</t>
  </si>
  <si>
    <t>Uttarakhand</t>
  </si>
  <si>
    <t>C056</t>
  </si>
  <si>
    <t>West Bengal</t>
  </si>
  <si>
    <t>C057</t>
  </si>
  <si>
    <t>XXL</t>
  </si>
  <si>
    <t>C058</t>
  </si>
  <si>
    <t>C059</t>
  </si>
  <si>
    <t>Sum of Order id</t>
  </si>
  <si>
    <t>Sum of Amount</t>
  </si>
  <si>
    <t>February</t>
  </si>
  <si>
    <t>March</t>
  </si>
  <si>
    <t>April</t>
  </si>
  <si>
    <t>December</t>
  </si>
  <si>
    <t>(blank)</t>
  </si>
  <si>
    <t>Grand Total</t>
  </si>
  <si>
    <t>Average of Order id</t>
  </si>
  <si>
    <t>Women</t>
  </si>
  <si>
    <t>C001</t>
  </si>
  <si>
    <t>Delivered</t>
  </si>
  <si>
    <t>MOHALI</t>
  </si>
  <si>
    <t>C002</t>
  </si>
  <si>
    <t>GURUGRAM</t>
  </si>
  <si>
    <t>C003</t>
  </si>
  <si>
    <t>KOLKATA</t>
  </si>
  <si>
    <t>C004</t>
  </si>
  <si>
    <t>Amazon</t>
  </si>
  <si>
    <t>XS</t>
  </si>
  <si>
    <t>BENGALURU</t>
  </si>
  <si>
    <t>C005</t>
  </si>
  <si>
    <t>VIJAYAWAD</t>
  </si>
  <si>
    <t>C006</t>
  </si>
  <si>
    <t>ARAKONAM</t>
  </si>
  <si>
    <t>C007</t>
  </si>
  <si>
    <t>Western dress</t>
  </si>
  <si>
    <t>C008</t>
  </si>
  <si>
    <t>C009</t>
  </si>
  <si>
    <t>C010</t>
  </si>
  <si>
    <t>C011</t>
  </si>
  <si>
    <t>C012</t>
  </si>
  <si>
    <t>C013</t>
  </si>
  <si>
    <t>Flipkart</t>
  </si>
  <si>
    <t>C014</t>
  </si>
  <si>
    <t>C015</t>
  </si>
  <si>
    <t>top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</si>
  <si>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</si>
  <si>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</si>
  <si>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</si>
  <si>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</si>
  <si>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</si>
  <si>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</si>
  <si>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</si>
  <si>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</si>
  <si>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</si>
  <si>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</si>
  <si>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</si>
  <si>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ajio</t>
  </si>
  <si>
    <t>C027</t>
  </si>
  <si>
    <t>C028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</si>
  <si>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</si>
  <si>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</si>
  <si>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</si>
  <si>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</si>
  <si>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</si>
  <si>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</si>
  <si>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</si>
  <si>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</si>
  <si>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</si>
  <si>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</si>
  <si>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</si>
  <si>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</si>
  <si>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</si>
  <si>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meesho</t>
  </si>
  <si>
    <t>C073</t>
  </si>
  <si>
    <t>others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</si>
  <si>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</si>
  <si>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</si>
  <si>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</si>
  <si>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</si>
  <si>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</si>
  <si>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</si>
  <si>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</si>
  <si>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</si>
  <si>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</si>
  <si>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</si>
  <si>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</si>
  <si>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</si>
  <si>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</si>
  <si>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</si>
  <si>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</si>
  <si>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</si>
  <si>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</si>
  <si>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</si>
  <si>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</si>
  <si>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</si>
  <si>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</si>
  <si>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</si>
  <si>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</si>
  <si>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</si>
  <si>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</si>
  <si>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</si>
  <si>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</si>
  <si>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</si>
  <si>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</si>
  <si>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</si>
  <si>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</si>
  <si>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</si>
  <si>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</si>
  <si>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</si>
  <si>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</si>
  <si>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</si>
  <si>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</si>
  <si>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</si>
  <si>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flipkart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</si>
  <si>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</si>
  <si>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</si>
  <si>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</si>
  <si>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</si>
  <si>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</si>
  <si>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</si>
  <si>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</si>
  <si>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</si>
  <si>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</si>
  <si>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</si>
  <si>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</si>
  <si>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</si>
  <si>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</si>
  <si>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</si>
  <si>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</si>
  <si>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</si>
  <si>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</si>
  <si>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</si>
  <si>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</si>
  <si>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</si>
  <si>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</si>
  <si>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</si>
  <si>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</si>
  <si>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</si>
  <si>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</si>
  <si>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Sales and Report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</si>
</sst>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sz val="2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3" applyNumberFormat="0" applyAlignment="0" applyProtection="0">
      <alignment vertical="center"/>
    </xf>
    <xf numFmtId="0" fontId="11" fillId="4" borderId="14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5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180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numFmt numFmtId="180" formatCode="dd/mm/yyyy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2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report..xlsx]compare sales and order!PivotTable1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'compare sales and order'!$B$3</c:f>
              <c:strCache>
                <c:ptCount val="1"/>
                <c:pt idx="0">
                  <c:v>Sum of Order id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'compare sales and order'!$A$4:$A$10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December</c:v>
                </c:pt>
                <c:pt idx="5">
                  <c:v>(blank)</c:v>
                </c:pt>
              </c:strCache>
            </c:strRef>
          </c:cat>
          <c:val>
            <c:numRef>
              <c:f>'compare sales and order'!$B$4:$B$10</c:f>
              <c:numCache>
                <c:formatCode>General</c:formatCode>
                <c:ptCount val="6"/>
                <c:pt idx="0">
                  <c:v>32364</c:v>
                </c:pt>
                <c:pt idx="1">
                  <c:v>30058</c:v>
                </c:pt>
                <c:pt idx="2">
                  <c:v>34193</c:v>
                </c:pt>
                <c:pt idx="3">
                  <c:v>20295</c:v>
                </c:pt>
                <c:pt idx="4">
                  <c:v>28406</c:v>
                </c:pt>
              </c:numCache>
            </c:numRef>
          </c:val>
        </c:ser>
        <c:ser>
          <c:idx val="1"/>
          <c:order val="1"/>
          <c:tx>
            <c:strRef>
              <c:f>'compare sales and order'!$C$3</c:f>
              <c:strCache>
                <c:ptCount val="1"/>
                <c:pt idx="0">
                  <c:v>Sum of Amount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'compare sales and order'!$A$4:$A$10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December</c:v>
                </c:pt>
                <c:pt idx="5">
                  <c:v>(blank)</c:v>
                </c:pt>
              </c:strCache>
            </c:strRef>
          </c:cat>
          <c:val>
            <c:numRef>
              <c:f>'compare sales and order'!$C$4:$C$10</c:f>
              <c:numCache>
                <c:formatCode>General</c:formatCode>
                <c:ptCount val="6"/>
                <c:pt idx="0">
                  <c:v>18284</c:v>
                </c:pt>
                <c:pt idx="1">
                  <c:v>11210</c:v>
                </c:pt>
                <c:pt idx="2">
                  <c:v>11811</c:v>
                </c:pt>
                <c:pt idx="3">
                  <c:v>7299</c:v>
                </c:pt>
                <c:pt idx="4">
                  <c:v>18346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212219363"/>
        <c:axId val="785800920"/>
      </c:barChart>
      <c:catAx>
        <c:axId val="2122193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5800920"/>
        <c:crosses val="autoZero"/>
        <c:auto val="1"/>
        <c:lblAlgn val="ctr"/>
        <c:lblOffset val="100"/>
        <c:noMultiLvlLbl val="0"/>
      </c:catAx>
      <c:valAx>
        <c:axId val="785800920"/>
        <c:scaling>
          <c:orientation val="minMax"/>
        </c:scaling>
        <c:delete val="1"/>
        <c:axPos val="l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22193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bf374c4-a447-4cae-8aa1-eb26051ac840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report..xlsx]men vs women!PivotTable3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'men vs women'!$B$3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'men vs women'!$A$4:$A$6</c:f>
              <c:strCache>
                <c:ptCount val="2"/>
                <c:pt idx="0">
                  <c:v>Men</c:v>
                </c:pt>
                <c:pt idx="1">
                  <c:v>Women</c:v>
                </c:pt>
              </c:strCache>
            </c:strRef>
          </c:cat>
          <c:val>
            <c:numRef>
              <c:f>'men vs women'!$B$4:$B$6</c:f>
              <c:numCache>
                <c:formatCode>General</c:formatCode>
                <c:ptCount val="2"/>
                <c:pt idx="0">
                  <c:v>1075.4262295082</c:v>
                </c:pt>
                <c:pt idx="1">
                  <c:v>1008.14285714286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e8d6e29-2fe6-426a-a0cf-87943e2d79f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report..xlsx]compare sales and order!PivotTable1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'compare sales and order'!$B$3</c:f>
              <c:strCache>
                <c:ptCount val="1"/>
                <c:pt idx="0">
                  <c:v>Sum of Order id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'compare sales and order'!$A$4:$A$10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December</c:v>
                </c:pt>
                <c:pt idx="5">
                  <c:v>(blank)</c:v>
                </c:pt>
              </c:strCache>
            </c:strRef>
          </c:cat>
          <c:val>
            <c:numRef>
              <c:f>'compare sales and order'!$B$4:$B$10</c:f>
              <c:numCache>
                <c:formatCode>General</c:formatCode>
                <c:ptCount val="6"/>
                <c:pt idx="0">
                  <c:v>32364</c:v>
                </c:pt>
                <c:pt idx="1">
                  <c:v>30058</c:v>
                </c:pt>
                <c:pt idx="2">
                  <c:v>34193</c:v>
                </c:pt>
                <c:pt idx="3">
                  <c:v>20295</c:v>
                </c:pt>
                <c:pt idx="4">
                  <c:v>28406</c:v>
                </c:pt>
              </c:numCache>
            </c:numRef>
          </c:val>
        </c:ser>
        <c:ser>
          <c:idx val="1"/>
          <c:order val="1"/>
          <c:tx>
            <c:strRef>
              <c:f>'compare sales and order'!$C$3</c:f>
              <c:strCache>
                <c:ptCount val="1"/>
                <c:pt idx="0">
                  <c:v>Sum of Amount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'compare sales and order'!$A$4:$A$10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December</c:v>
                </c:pt>
                <c:pt idx="5">
                  <c:v>(blank)</c:v>
                </c:pt>
              </c:strCache>
            </c:strRef>
          </c:cat>
          <c:val>
            <c:numRef>
              <c:f>'compare sales and order'!$C$4:$C$10</c:f>
              <c:numCache>
                <c:formatCode>General</c:formatCode>
                <c:ptCount val="6"/>
                <c:pt idx="0">
                  <c:v>18284</c:v>
                </c:pt>
                <c:pt idx="1">
                  <c:v>11210</c:v>
                </c:pt>
                <c:pt idx="2">
                  <c:v>11811</c:v>
                </c:pt>
                <c:pt idx="3">
                  <c:v>7299</c:v>
                </c:pt>
                <c:pt idx="4">
                  <c:v>18346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212219363"/>
        <c:axId val="785800920"/>
      </c:barChart>
      <c:catAx>
        <c:axId val="2122193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5800920"/>
        <c:crosses val="autoZero"/>
        <c:auto val="1"/>
        <c:lblAlgn val="ctr"/>
        <c:lblOffset val="100"/>
        <c:noMultiLvlLbl val="0"/>
      </c:catAx>
      <c:valAx>
        <c:axId val="785800920"/>
        <c:scaling>
          <c:orientation val="minMax"/>
        </c:scaling>
        <c:delete val="1"/>
        <c:axPos val="l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22193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8007138-5e2f-43bc-82d9-0e0f7ec76877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report..xlsx]men vs women!PivotTable3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'men vs women'!$B$3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'men vs women'!$A$4:$A$6</c:f>
              <c:strCache>
                <c:ptCount val="2"/>
                <c:pt idx="0">
                  <c:v>Men</c:v>
                </c:pt>
                <c:pt idx="1">
                  <c:v>Women</c:v>
                </c:pt>
              </c:strCache>
            </c:strRef>
          </c:cat>
          <c:val>
            <c:numRef>
              <c:f>'men vs women'!$B$4:$B$6</c:f>
              <c:numCache>
                <c:formatCode>General</c:formatCode>
                <c:ptCount val="2"/>
                <c:pt idx="0">
                  <c:v>1075.4262295082</c:v>
                </c:pt>
                <c:pt idx="1">
                  <c:v>1008.14285714286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2799a5a-46e8-4d17-86d7-9b5eb5b59dc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463550</xdr:colOff>
      <xdr:row>3</xdr:row>
      <xdr:rowOff>158750</xdr:rowOff>
    </xdr:from>
    <xdr:to>
      <xdr:col>11</xdr:col>
      <xdr:colOff>412750</xdr:colOff>
      <xdr:row>17</xdr:row>
      <xdr:rowOff>101600</xdr:rowOff>
    </xdr:to>
    <xdr:graphicFrame>
      <xdr:nvGraphicFramePr>
        <xdr:cNvPr id="2" name="Chart 1" title="Compare sales and order"/>
        <xdr:cNvGraphicFramePr/>
      </xdr:nvGraphicFramePr>
      <xdr:xfrm>
        <a:off x="3425825" y="730250"/>
        <a:ext cx="4826000" cy="2609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293370</xdr:colOff>
      <xdr:row>2</xdr:row>
      <xdr:rowOff>140335</xdr:rowOff>
    </xdr:from>
    <xdr:to>
      <xdr:col>19</xdr:col>
      <xdr:colOff>21590</xdr:colOff>
      <xdr:row>21</xdr:row>
      <xdr:rowOff>63500</xdr:rowOff>
    </xdr:to>
    <xdr:graphicFrame>
      <xdr:nvGraphicFramePr>
        <xdr:cNvPr id="2" name="Chart 1"/>
        <xdr:cNvGraphicFramePr/>
      </xdr:nvGraphicFramePr>
      <xdr:xfrm>
        <a:off x="2436495" y="521335"/>
        <a:ext cx="10091420" cy="3542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35</xdr:row>
          <xdr:rowOff>0</xdr:rowOff>
        </xdr:from>
        <xdr:to>
          <xdr:col>17</xdr:col>
          <xdr:colOff>971550</xdr:colOff>
          <xdr:row>36</xdr:row>
          <xdr:rowOff>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3134975" y="6667500"/>
              <a:ext cx="97155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48260</xdr:colOff>
      <xdr:row>2</xdr:row>
      <xdr:rowOff>171450</xdr:rowOff>
    </xdr:from>
    <xdr:to>
      <xdr:col>8</xdr:col>
      <xdr:colOff>606425</xdr:colOff>
      <xdr:row>22</xdr:row>
      <xdr:rowOff>8890</xdr:rowOff>
    </xdr:to>
    <xdr:graphicFrame>
      <xdr:nvGraphicFramePr>
        <xdr:cNvPr id="2" name="Chart 1" title="Compare sales and order"/>
        <xdr:cNvGraphicFramePr/>
      </xdr:nvGraphicFramePr>
      <xdr:xfrm>
        <a:off x="48260" y="762000"/>
        <a:ext cx="5434965" cy="364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228600</xdr:colOff>
      <xdr:row>3</xdr:row>
      <xdr:rowOff>142240</xdr:rowOff>
    </xdr:from>
    <xdr:to>
      <xdr:col>25</xdr:col>
      <xdr:colOff>566420</xdr:colOff>
      <xdr:row>21</xdr:row>
      <xdr:rowOff>123190</xdr:rowOff>
    </xdr:to>
    <xdr:graphicFrame>
      <xdr:nvGraphicFramePr>
        <xdr:cNvPr id="3" name="Chart 2"/>
        <xdr:cNvGraphicFramePr/>
      </xdr:nvGraphicFramePr>
      <xdr:xfrm>
        <a:off x="5715000" y="923290"/>
        <a:ext cx="10091420" cy="3409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46.814537037" refreshedBy="Mahalakshmi" recordCount="137">
  <cacheSource type="worksheet">
    <worksheetSource ref="A1:U1048576" sheet="project dataset"/>
  </cacheSource>
  <cacheFields count="21">
    <cacheField name="Index" numFmtId="0">
      <sharedItems containsString="0" containsBlank="1" containsNumber="1" containsInteger="1" minValue="0" maxValue="136" count="13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m/>
      </sharedItems>
    </cacheField>
    <cacheField name="Order id" numFmtId="0">
      <sharedItems containsString="0" containsBlank="1" containsNumber="1" containsInteger="1" minValue="0" maxValue="1136" count="137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m/>
      </sharedItems>
    </cacheField>
    <cacheField name="Cust id" numFmtId="0">
      <sharedItems containsBlank="1" count="137"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  <s v="C021"/>
        <s v="C022"/>
        <s v="C023"/>
        <s v="C024"/>
        <s v="C025"/>
        <s v="C026"/>
        <s v="C027"/>
        <s v="C028"/>
        <s v="C029"/>
        <s v="C030"/>
        <s v="C031"/>
        <s v="C032"/>
        <s v="C033"/>
        <s v="C034"/>
        <s v="C035"/>
        <s v="C036"/>
        <s v="C037"/>
        <s v="C038"/>
        <s v="C039"/>
        <s v="C040"/>
        <s v="C041"/>
        <s v="C042"/>
        <s v="C043"/>
        <s v="C044"/>
        <s v="C045"/>
        <s v="C046"/>
        <s v="C047"/>
        <s v="C048"/>
        <s v="C049"/>
        <s v="C050"/>
        <s v="C051"/>
        <s v="C052"/>
        <s v="C053"/>
        <s v="C054"/>
        <s v="C055"/>
        <s v="C056"/>
        <s v="C057"/>
        <s v="C058"/>
        <s v="C059"/>
        <s v="C060"/>
        <s v="C061"/>
        <s v="C062"/>
        <s v="C063"/>
        <s v="C064"/>
        <s v="C065"/>
        <s v="C066"/>
        <s v="C067"/>
        <s v="C068"/>
        <s v="C069"/>
        <s v="C070"/>
        <s v="C071"/>
        <s v="C072"/>
        <s v="C073"/>
        <s v="C074"/>
        <s v="C075"/>
        <s v="C076"/>
        <s v="C077"/>
        <s v="C078"/>
        <s v="C079"/>
        <s v="C080"/>
        <s v="C081"/>
        <s v="C082"/>
        <s v="C083"/>
        <s v="C084"/>
        <s v="C085"/>
        <s v="C086"/>
        <s v="C087"/>
        <s v="C088"/>
        <s v="C089"/>
        <s v="C090"/>
        <s v="C091"/>
        <s v="C092"/>
        <s v="C093"/>
        <s v="C094"/>
        <s v="C095"/>
        <s v="C096"/>
        <s v="C097"/>
        <s v="C098"/>
        <s v="C099"/>
        <s v="C100"/>
        <s v="C101"/>
        <s v="C102"/>
        <s v="C103"/>
        <s v="C104"/>
        <s v="C105"/>
        <s v="C106"/>
        <s v="C107"/>
        <s v="C108"/>
        <s v="C109"/>
        <s v="C110"/>
        <s v="C111"/>
        <s v="C112"/>
        <s v="C113"/>
        <s v="C114"/>
        <s v="C115"/>
        <s v="C116"/>
        <s v="C117"/>
        <s v="C118"/>
        <s v="C119"/>
        <s v="C120"/>
        <s v="C121"/>
        <s v="C122"/>
        <s v="C123"/>
        <s v="C124"/>
        <s v="C125"/>
        <s v="C126"/>
        <s v="C127"/>
        <s v="C128"/>
        <s v="C129"/>
        <s v="C130"/>
        <s v="C131"/>
        <s v="C132"/>
        <s v="C133"/>
        <s v="C134"/>
        <s v="C135"/>
        <s v="C136"/>
        <m/>
      </sharedItems>
    </cacheField>
    <cacheField name="Gender" numFmtId="0">
      <sharedItems containsBlank="1" count="3">
        <s v="Women"/>
        <s v="Men"/>
        <m/>
      </sharedItems>
    </cacheField>
    <cacheField name="Age" numFmtId="0">
      <sharedItems containsString="0" containsBlank="1" containsNumber="1" containsInteger="1" minValue="0" maxValue="80" count="65">
        <n v="17"/>
        <n v="18"/>
        <n v="22"/>
        <n v="25"/>
        <n v="30"/>
        <n v="35"/>
        <n v="40"/>
        <n v="45"/>
        <n v="50"/>
        <n v="55"/>
        <n v="60"/>
        <n v="65"/>
        <n v="70"/>
        <n v="75"/>
        <n v="80"/>
        <n v="19"/>
        <n v="23"/>
        <n v="27"/>
        <n v="32"/>
        <n v="36"/>
        <n v="41"/>
        <n v="46"/>
        <n v="51"/>
        <n v="56"/>
        <n v="61"/>
        <n v="66"/>
        <n v="71"/>
        <n v="76"/>
        <n v="20"/>
        <n v="24"/>
        <n v="28"/>
        <n v="33"/>
        <n v="37"/>
        <n v="42"/>
        <n v="47"/>
        <n v="52"/>
        <n v="57"/>
        <n v="62"/>
        <n v="67"/>
        <n v="72"/>
        <n v="77"/>
        <n v="21"/>
        <n v="26"/>
        <n v="29"/>
        <n v="34"/>
        <n v="38"/>
        <n v="43"/>
        <n v="48"/>
        <n v="53"/>
        <n v="58"/>
        <n v="63"/>
        <n v="68"/>
        <n v="73"/>
        <n v="78"/>
        <n v="31"/>
        <n v="39"/>
        <n v="44"/>
        <n v="49"/>
        <n v="54"/>
        <n v="59"/>
        <n v="64"/>
        <n v="69"/>
        <n v="74"/>
        <n v="79"/>
        <m/>
      </sharedItems>
    </cacheField>
    <cacheField name="Age group" numFmtId="0">
      <sharedItems containsBlank="1" count="4">
        <s v="teen"/>
        <s v="Adult"/>
        <s v="Senior "/>
        <m/>
      </sharedItems>
    </cacheField>
    <cacheField name="Date" numFmtId="0">
      <sharedItems containsString="0" containsBlank="1" containsNonDate="0" containsDate="1" minDate="2022-12-04T00:00:00" maxDate="2023-04-18T00:00:00" count="137"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m/>
      </sharedItems>
    </cacheField>
    <cacheField name="month" numFmtId="0">
      <sharedItems containsBlank="1" count="6">
        <s v="December"/>
        <s v="January"/>
        <s v="February"/>
        <s v="March"/>
        <s v="April"/>
        <m/>
      </sharedItems>
    </cacheField>
    <cacheField name="Status" numFmtId="0">
      <sharedItems containsBlank="1" count="4">
        <s v="Delivered"/>
        <s v="Return"/>
        <s v="Refund"/>
        <m/>
      </sharedItems>
    </cacheField>
    <cacheField name="Channel" numFmtId="0">
      <sharedItems containsBlank="1" count="7">
        <s v="mynta"/>
        <s v="Ajio"/>
        <s v="Amazon"/>
        <s v="Flipkart"/>
        <s v="meesho"/>
        <s v="others"/>
        <m/>
      </sharedItems>
    </cacheField>
    <cacheField name="Sku" numFmtId="0">
      <sharedItems containsBlank="1" count="9">
        <s v="TS-WHT-M-139"/>
        <s v="SH-BLU-L-139"/>
        <s v="HD-GRY-XL-139"/>
        <s v="PN-BLK-32-139"/>
        <s v="JK-RED-M-139"/>
        <s v="SH-GRN-S-139"/>
        <s v="TS-BLK-XL-139"/>
        <s v="SW-YLW-L-139"/>
        <m/>
      </sharedItems>
    </cacheField>
    <cacheField name="Size" numFmtId="0">
      <sharedItems containsBlank="1" count="7">
        <s v="XXL"/>
        <s v="XL"/>
        <s v="S"/>
        <s v="XS"/>
        <s v="M"/>
        <s v="L"/>
        <m/>
      </sharedItems>
    </cacheField>
    <cacheField name="Category" numFmtId="0">
      <sharedItems containsBlank="1" count="5">
        <s v="kurta"/>
        <s v="Set"/>
        <s v="Western dress"/>
        <s v="top"/>
        <m/>
      </sharedItems>
    </cacheField>
    <cacheField name="Qty" numFmtId="0">
      <sharedItems containsString="0" containsBlank="1" containsNumber="1" containsInteger="1" minValue="0" maxValue="1" count="2">
        <n v="1"/>
        <m/>
      </sharedItems>
    </cacheField>
    <cacheField name="currency" numFmtId="0">
      <sharedItems containsBlank="1" count="2">
        <s v="INR"/>
        <m/>
      </sharedItems>
    </cacheField>
    <cacheField name="Amount" numFmtId="0">
      <sharedItems containsString="0" containsBlank="1" containsNumber="1" containsInteger="1" minValue="0" maxValue="1449" count="132">
        <n v="376"/>
        <n v="1449"/>
        <n v="453"/>
        <n v="385"/>
        <n v="517"/>
        <n v="786"/>
        <n v="911"/>
        <n v="967"/>
        <n v="467"/>
        <n v="876"/>
        <n v="906"/>
        <n v="765"/>
        <n v="890"/>
        <n v="345"/>
        <n v="654"/>
        <n v="700"/>
        <n v="465"/>
        <n v="38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667"/>
        <n v="900"/>
        <n v="1245"/>
        <n v="800"/>
        <n v="340"/>
        <n v="341"/>
        <n v="342"/>
        <n v="343"/>
        <n v="344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7"/>
        <n v="378"/>
        <n v="379"/>
        <n v="380"/>
        <n v="381"/>
        <n v="382"/>
        <n v="383"/>
        <n v="384"/>
        <n v="386"/>
        <n v="387"/>
        <n v="388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m/>
      </sharedItems>
    </cacheField>
    <cacheField name="Ship-city" numFmtId="0">
      <sharedItems containsBlank="1" count="9">
        <s v="MOHALI"/>
        <s v="GURUGRAM"/>
        <s v="KOLKATA"/>
        <s v="BENGALURU"/>
        <s v="VIJAYAWAD"/>
        <s v="ARAKONAM"/>
        <s v="KUWAIT"/>
        <s v="HYDERBAD"/>
        <m/>
      </sharedItems>
    </cacheField>
    <cacheField name="state" numFmtId="0">
      <sharedItems containsBlank="1" count="29">
        <s v="Andhra Pradesh"/>
        <s v="Arunachal Pradesh"/>
        <s v="Assam"/>
        <s v="Bihar"/>
        <s v="Chhattisgarh"/>
        <s v="Goa"/>
        <s v="Gujarat"/>
        <s v="Haryana"/>
        <s v="Himachal Pradesh"/>
        <s v="Jharkhand"/>
        <s v="Karnataka"/>
        <s v="Kerala"/>
        <s v="Madhya Pradesh"/>
        <s v="Maharashtra"/>
        <s v="Manipur"/>
        <s v="Meghalaya"/>
        <s v="Mizoram"/>
        <s v="Nagaland"/>
        <s v="Odisha"/>
        <s v="Punjab"/>
        <s v="Rajasthan"/>
        <s v="Sikkim"/>
        <s v="Tamil Nadu"/>
        <s v="Telangana"/>
        <s v="Tripura"/>
        <s v="Uttar Pradesh"/>
        <s v="Uttarakhand"/>
        <s v="West Bengal"/>
        <m/>
      </sharedItems>
    </cacheField>
    <cacheField name="Ship-postal-code" numFmtId="0">
      <sharedItems containsString="0" containsBlank="1" containsNumber="1" containsInteger="1" minValue="0" maxValue="2345" count="134">
        <n v="1213"/>
        <n v="2345"/>
        <n v="1546"/>
        <n v="1289"/>
        <n v="1020"/>
        <n v="1045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m/>
      </sharedItems>
    </cacheField>
    <cacheField name="Ship-count" numFmtId="0">
      <sharedItems containsBlank="1" count="2">
        <s v="IN"/>
        <m/>
      </sharedItems>
    </cacheField>
    <cacheField name="B26" numFmtId="0">
      <sharedItems containsBlank="1" count="2">
        <b v="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46.8372453704" refreshedBy="Mahalakshmi" recordCount="136">
  <cacheSource type="worksheet">
    <worksheetSource ref="A1:U137" sheet="project dataset"/>
  </cacheSource>
  <cacheFields count="21">
    <cacheField name="Index" numFmtId="0">
      <sharedItems containsSemiMixedTypes="0" containsString="0" containsNumber="1" containsInteger="1" minValue="0" maxValue="136" count="13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</sharedItems>
    </cacheField>
    <cacheField name="Order id" numFmtId="0">
      <sharedItems containsSemiMixedTypes="0" containsString="0" containsNumber="1" containsInteger="1" minValue="0" maxValue="1136" count="136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</sharedItems>
    </cacheField>
    <cacheField name="Cust id" numFmtId="0">
      <sharedItems count="136"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  <s v="C021"/>
        <s v="C022"/>
        <s v="C023"/>
        <s v="C024"/>
        <s v="C025"/>
        <s v="C026"/>
        <s v="C027"/>
        <s v="C028"/>
        <s v="C029"/>
        <s v="C030"/>
        <s v="C031"/>
        <s v="C032"/>
        <s v="C033"/>
        <s v="C034"/>
        <s v="C035"/>
        <s v="C036"/>
        <s v="C037"/>
        <s v="C038"/>
        <s v="C039"/>
        <s v="C040"/>
        <s v="C041"/>
        <s v="C042"/>
        <s v="C043"/>
        <s v="C044"/>
        <s v="C045"/>
        <s v="C046"/>
        <s v="C047"/>
        <s v="C048"/>
        <s v="C049"/>
        <s v="C050"/>
        <s v="C051"/>
        <s v="C052"/>
        <s v="C053"/>
        <s v="C054"/>
        <s v="C055"/>
        <s v="C056"/>
        <s v="C057"/>
        <s v="C058"/>
        <s v="C059"/>
        <s v="C060"/>
        <s v="C061"/>
        <s v="C062"/>
        <s v="C063"/>
        <s v="C064"/>
        <s v="C065"/>
        <s v="C066"/>
        <s v="C067"/>
        <s v="C068"/>
        <s v="C069"/>
        <s v="C070"/>
        <s v="C071"/>
        <s v="C072"/>
        <s v="C073"/>
        <s v="C074"/>
        <s v="C075"/>
        <s v="C076"/>
        <s v="C077"/>
        <s v="C078"/>
        <s v="C079"/>
        <s v="C080"/>
        <s v="C081"/>
        <s v="C082"/>
        <s v="C083"/>
        <s v="C084"/>
        <s v="C085"/>
        <s v="C086"/>
        <s v="C087"/>
        <s v="C088"/>
        <s v="C089"/>
        <s v="C090"/>
        <s v="C091"/>
        <s v="C092"/>
        <s v="C093"/>
        <s v="C094"/>
        <s v="C095"/>
        <s v="C096"/>
        <s v="C097"/>
        <s v="C098"/>
        <s v="C099"/>
        <s v="C100"/>
        <s v="C101"/>
        <s v="C102"/>
        <s v="C103"/>
        <s v="C104"/>
        <s v="C105"/>
        <s v="C106"/>
        <s v="C107"/>
        <s v="C108"/>
        <s v="C109"/>
        <s v="C110"/>
        <s v="C111"/>
        <s v="C112"/>
        <s v="C113"/>
        <s v="C114"/>
        <s v="C115"/>
        <s v="C116"/>
        <s v="C117"/>
        <s v="C118"/>
        <s v="C119"/>
        <s v="C120"/>
        <s v="C121"/>
        <s v="C122"/>
        <s v="C123"/>
        <s v="C124"/>
        <s v="C125"/>
        <s v="C126"/>
        <s v="C127"/>
        <s v="C128"/>
        <s v="C129"/>
        <s v="C130"/>
        <s v="C131"/>
        <s v="C132"/>
        <s v="C133"/>
        <s v="C134"/>
        <s v="C135"/>
        <s v="C136"/>
      </sharedItems>
    </cacheField>
    <cacheField name="Gender" numFmtId="0">
      <sharedItems count="2">
        <s v="Women"/>
        <s v="Men"/>
      </sharedItems>
    </cacheField>
    <cacheField name="Age" numFmtId="0">
      <sharedItems containsSemiMixedTypes="0" containsString="0" containsNumber="1" containsInteger="1" minValue="0" maxValue="80" count="64">
        <n v="17"/>
        <n v="18"/>
        <n v="22"/>
        <n v="25"/>
        <n v="30"/>
        <n v="35"/>
        <n v="40"/>
        <n v="45"/>
        <n v="50"/>
        <n v="55"/>
        <n v="60"/>
        <n v="65"/>
        <n v="70"/>
        <n v="75"/>
        <n v="80"/>
        <n v="19"/>
        <n v="23"/>
        <n v="27"/>
        <n v="32"/>
        <n v="36"/>
        <n v="41"/>
        <n v="46"/>
        <n v="51"/>
        <n v="56"/>
        <n v="61"/>
        <n v="66"/>
        <n v="71"/>
        <n v="76"/>
        <n v="20"/>
        <n v="24"/>
        <n v="28"/>
        <n v="33"/>
        <n v="37"/>
        <n v="42"/>
        <n v="47"/>
        <n v="52"/>
        <n v="57"/>
        <n v="62"/>
        <n v="67"/>
        <n v="72"/>
        <n v="77"/>
        <n v="21"/>
        <n v="26"/>
        <n v="29"/>
        <n v="34"/>
        <n v="38"/>
        <n v="43"/>
        <n v="48"/>
        <n v="53"/>
        <n v="58"/>
        <n v="63"/>
        <n v="68"/>
        <n v="73"/>
        <n v="78"/>
        <n v="31"/>
        <n v="39"/>
        <n v="44"/>
        <n v="49"/>
        <n v="54"/>
        <n v="59"/>
        <n v="64"/>
        <n v="69"/>
        <n v="74"/>
        <n v="79"/>
      </sharedItems>
    </cacheField>
    <cacheField name="Age group" numFmtId="0">
      <sharedItems count="3">
        <s v="teen"/>
        <s v="Adult"/>
        <s v="Senior "/>
      </sharedItems>
    </cacheField>
    <cacheField name="Date" numFmtId="180">
      <sharedItems containsSemiMixedTypes="0" containsString="0" containsNonDate="0" containsDate="1" minDate="2022-12-04T00:00:00" maxDate="2023-04-18T00:00:00" count="136"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</sharedItems>
    </cacheField>
    <cacheField name="month" numFmtId="0">
      <sharedItems count="5">
        <s v="December"/>
        <s v="January"/>
        <s v="February"/>
        <s v="March"/>
        <s v="April"/>
      </sharedItems>
    </cacheField>
    <cacheField name="Status" numFmtId="0">
      <sharedItems count="3">
        <s v="Delivered"/>
        <s v="Return"/>
        <s v="Refund"/>
      </sharedItems>
    </cacheField>
    <cacheField name="Channel" numFmtId="0">
      <sharedItems count="6">
        <s v="mynta"/>
        <s v="Ajio"/>
        <s v="Amazon"/>
        <s v="Flipkart"/>
        <s v="meesho"/>
        <s v="others"/>
      </sharedItems>
    </cacheField>
    <cacheField name="Sku" numFmtId="0">
      <sharedItems count="8">
        <s v="TS-WHT-M-139"/>
        <s v="SH-BLU-L-139"/>
        <s v="HD-GRY-XL-139"/>
        <s v="PN-BLK-32-139"/>
        <s v="JK-RED-M-139"/>
        <s v="SH-GRN-S-139"/>
        <s v="TS-BLK-XL-139"/>
        <s v="SW-YLW-L-139"/>
      </sharedItems>
    </cacheField>
    <cacheField name="Size" numFmtId="0">
      <sharedItems count="6">
        <s v="XXL"/>
        <s v="XL"/>
        <s v="S"/>
        <s v="XS"/>
        <s v="M"/>
        <s v="L"/>
      </sharedItems>
    </cacheField>
    <cacheField name="Category" numFmtId="0">
      <sharedItems count="4">
        <s v="kurta"/>
        <s v="Set"/>
        <s v="Western dress"/>
        <s v="top"/>
      </sharedItems>
    </cacheField>
    <cacheField name="Qty" numFmtId="0">
      <sharedItems containsSemiMixedTypes="0" containsString="0" containsNumber="1" containsInteger="1" minValue="0" maxValue="1" count="1">
        <n v="1"/>
      </sharedItems>
    </cacheField>
    <cacheField name="currency" numFmtId="0">
      <sharedItems count="1">
        <s v="INR"/>
      </sharedItems>
    </cacheField>
    <cacheField name="Amount" numFmtId="0">
      <sharedItems containsSemiMixedTypes="0" containsString="0" containsNumber="1" containsInteger="1" minValue="0" maxValue="1449" count="131">
        <n v="376"/>
        <n v="1449"/>
        <n v="453"/>
        <n v="385"/>
        <n v="517"/>
        <n v="786"/>
        <n v="911"/>
        <n v="967"/>
        <n v="467"/>
        <n v="876"/>
        <n v="906"/>
        <n v="765"/>
        <n v="890"/>
        <n v="345"/>
        <n v="654"/>
        <n v="700"/>
        <n v="465"/>
        <n v="38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667"/>
        <n v="900"/>
        <n v="1245"/>
        <n v="800"/>
        <n v="340"/>
        <n v="341"/>
        <n v="342"/>
        <n v="343"/>
        <n v="344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7"/>
        <n v="378"/>
        <n v="379"/>
        <n v="380"/>
        <n v="381"/>
        <n v="382"/>
        <n v="383"/>
        <n v="384"/>
        <n v="386"/>
        <n v="387"/>
        <n v="388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</sharedItems>
    </cacheField>
    <cacheField name="Ship-city" numFmtId="0">
      <sharedItems count="8">
        <s v="MOHALI"/>
        <s v="GURUGRAM"/>
        <s v="KOLKATA"/>
        <s v="BENGALURU"/>
        <s v="VIJAYAWAD"/>
        <s v="ARAKONAM"/>
        <s v="KUWAIT"/>
        <s v="HYDERBAD"/>
      </sharedItems>
    </cacheField>
    <cacheField name="state" numFmtId="0">
      <sharedItems count="28">
        <s v="Andhra Pradesh"/>
        <s v="Arunachal Pradesh"/>
        <s v="Assam"/>
        <s v="Bihar"/>
        <s v="Chhattisgarh"/>
        <s v="Goa"/>
        <s v="Gujarat"/>
        <s v="Haryana"/>
        <s v="Himachal Pradesh"/>
        <s v="Jharkhand"/>
        <s v="Karnataka"/>
        <s v="Kerala"/>
        <s v="Madhya Pradesh"/>
        <s v="Maharashtra"/>
        <s v="Manipur"/>
        <s v="Meghalaya"/>
        <s v="Mizoram"/>
        <s v="Nagaland"/>
        <s v="Odisha"/>
        <s v="Punjab"/>
        <s v="Rajasthan"/>
        <s v="Sikkim"/>
        <s v="Tamil Nadu"/>
        <s v="Telangana"/>
        <s v="Tripura"/>
        <s v="Uttar Pradesh"/>
        <s v="Uttarakhand"/>
        <s v="West Bengal"/>
      </sharedItems>
    </cacheField>
    <cacheField name="Ship-postal-code" numFmtId="0">
      <sharedItems containsSemiMixedTypes="0" containsString="0" containsNumber="1" containsInteger="1" minValue="0" maxValue="2345" count="133">
        <n v="1213"/>
        <n v="2345"/>
        <n v="1546"/>
        <n v="1289"/>
        <n v="1020"/>
        <n v="1045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</sharedItems>
    </cacheField>
    <cacheField name="Ship-count" numFmtId="0">
      <sharedItems count="1">
        <s v="IN"/>
      </sharedItems>
    </cacheField>
    <cacheField name="B26" numFmtId="0">
      <sharedItems count="1">
        <b v="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7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0"/>
    <x v="1"/>
    <x v="0"/>
    <x v="0"/>
    <x v="1"/>
    <x v="1"/>
    <x v="1"/>
    <x v="1"/>
    <x v="0"/>
    <x v="0"/>
    <x v="1"/>
    <x v="1"/>
    <x v="1"/>
    <x v="1"/>
    <x v="0"/>
    <x v="0"/>
  </r>
  <r>
    <x v="2"/>
    <x v="2"/>
    <x v="2"/>
    <x v="0"/>
    <x v="2"/>
    <x v="0"/>
    <x v="2"/>
    <x v="0"/>
    <x v="0"/>
    <x v="0"/>
    <x v="2"/>
    <x v="2"/>
    <x v="1"/>
    <x v="0"/>
    <x v="0"/>
    <x v="2"/>
    <x v="2"/>
    <x v="2"/>
    <x v="2"/>
    <x v="0"/>
    <x v="0"/>
  </r>
  <r>
    <x v="3"/>
    <x v="3"/>
    <x v="3"/>
    <x v="0"/>
    <x v="3"/>
    <x v="0"/>
    <x v="3"/>
    <x v="0"/>
    <x v="0"/>
    <x v="2"/>
    <x v="3"/>
    <x v="3"/>
    <x v="1"/>
    <x v="0"/>
    <x v="0"/>
    <x v="3"/>
    <x v="3"/>
    <x v="3"/>
    <x v="3"/>
    <x v="0"/>
    <x v="0"/>
  </r>
  <r>
    <x v="4"/>
    <x v="4"/>
    <x v="4"/>
    <x v="0"/>
    <x v="4"/>
    <x v="0"/>
    <x v="4"/>
    <x v="0"/>
    <x v="0"/>
    <x v="2"/>
    <x v="4"/>
    <x v="4"/>
    <x v="1"/>
    <x v="0"/>
    <x v="0"/>
    <x v="4"/>
    <x v="4"/>
    <x v="4"/>
    <x v="1"/>
    <x v="0"/>
    <x v="0"/>
  </r>
  <r>
    <x v="5"/>
    <x v="5"/>
    <x v="5"/>
    <x v="1"/>
    <x v="5"/>
    <x v="1"/>
    <x v="5"/>
    <x v="0"/>
    <x v="0"/>
    <x v="2"/>
    <x v="5"/>
    <x v="5"/>
    <x v="1"/>
    <x v="0"/>
    <x v="0"/>
    <x v="5"/>
    <x v="5"/>
    <x v="5"/>
    <x v="4"/>
    <x v="0"/>
    <x v="0"/>
  </r>
  <r>
    <x v="6"/>
    <x v="6"/>
    <x v="6"/>
    <x v="0"/>
    <x v="6"/>
    <x v="1"/>
    <x v="6"/>
    <x v="0"/>
    <x v="0"/>
    <x v="2"/>
    <x v="6"/>
    <x v="0"/>
    <x v="2"/>
    <x v="0"/>
    <x v="0"/>
    <x v="6"/>
    <x v="6"/>
    <x v="6"/>
    <x v="5"/>
    <x v="0"/>
    <x v="0"/>
  </r>
  <r>
    <x v="7"/>
    <x v="7"/>
    <x v="7"/>
    <x v="0"/>
    <x v="7"/>
    <x v="1"/>
    <x v="7"/>
    <x v="0"/>
    <x v="0"/>
    <x v="2"/>
    <x v="7"/>
    <x v="0"/>
    <x v="0"/>
    <x v="0"/>
    <x v="0"/>
    <x v="7"/>
    <x v="7"/>
    <x v="7"/>
    <x v="6"/>
    <x v="0"/>
    <x v="0"/>
  </r>
  <r>
    <x v="8"/>
    <x v="8"/>
    <x v="8"/>
    <x v="0"/>
    <x v="8"/>
    <x v="2"/>
    <x v="8"/>
    <x v="0"/>
    <x v="0"/>
    <x v="2"/>
    <x v="0"/>
    <x v="4"/>
    <x v="0"/>
    <x v="0"/>
    <x v="0"/>
    <x v="8"/>
    <x v="7"/>
    <x v="8"/>
    <x v="7"/>
    <x v="0"/>
    <x v="0"/>
  </r>
  <r>
    <x v="9"/>
    <x v="9"/>
    <x v="9"/>
    <x v="0"/>
    <x v="9"/>
    <x v="2"/>
    <x v="9"/>
    <x v="0"/>
    <x v="0"/>
    <x v="2"/>
    <x v="1"/>
    <x v="1"/>
    <x v="0"/>
    <x v="0"/>
    <x v="0"/>
    <x v="9"/>
    <x v="7"/>
    <x v="9"/>
    <x v="8"/>
    <x v="0"/>
    <x v="0"/>
  </r>
  <r>
    <x v="10"/>
    <x v="10"/>
    <x v="10"/>
    <x v="0"/>
    <x v="10"/>
    <x v="2"/>
    <x v="10"/>
    <x v="0"/>
    <x v="0"/>
    <x v="2"/>
    <x v="2"/>
    <x v="2"/>
    <x v="0"/>
    <x v="0"/>
    <x v="0"/>
    <x v="10"/>
    <x v="7"/>
    <x v="10"/>
    <x v="9"/>
    <x v="0"/>
    <x v="0"/>
  </r>
  <r>
    <x v="11"/>
    <x v="11"/>
    <x v="11"/>
    <x v="0"/>
    <x v="11"/>
    <x v="2"/>
    <x v="11"/>
    <x v="0"/>
    <x v="0"/>
    <x v="2"/>
    <x v="3"/>
    <x v="4"/>
    <x v="0"/>
    <x v="0"/>
    <x v="0"/>
    <x v="11"/>
    <x v="7"/>
    <x v="11"/>
    <x v="10"/>
    <x v="0"/>
    <x v="0"/>
  </r>
  <r>
    <x v="12"/>
    <x v="12"/>
    <x v="12"/>
    <x v="0"/>
    <x v="12"/>
    <x v="2"/>
    <x v="12"/>
    <x v="0"/>
    <x v="0"/>
    <x v="3"/>
    <x v="4"/>
    <x v="1"/>
    <x v="0"/>
    <x v="0"/>
    <x v="0"/>
    <x v="12"/>
    <x v="7"/>
    <x v="12"/>
    <x v="11"/>
    <x v="0"/>
    <x v="0"/>
  </r>
  <r>
    <x v="13"/>
    <x v="13"/>
    <x v="13"/>
    <x v="0"/>
    <x v="13"/>
    <x v="2"/>
    <x v="13"/>
    <x v="0"/>
    <x v="0"/>
    <x v="3"/>
    <x v="5"/>
    <x v="4"/>
    <x v="0"/>
    <x v="0"/>
    <x v="0"/>
    <x v="13"/>
    <x v="7"/>
    <x v="13"/>
    <x v="12"/>
    <x v="0"/>
    <x v="0"/>
  </r>
  <r>
    <x v="14"/>
    <x v="14"/>
    <x v="14"/>
    <x v="0"/>
    <x v="14"/>
    <x v="2"/>
    <x v="14"/>
    <x v="0"/>
    <x v="1"/>
    <x v="3"/>
    <x v="6"/>
    <x v="4"/>
    <x v="3"/>
    <x v="0"/>
    <x v="0"/>
    <x v="14"/>
    <x v="7"/>
    <x v="14"/>
    <x v="13"/>
    <x v="0"/>
    <x v="0"/>
  </r>
  <r>
    <x v="15"/>
    <x v="15"/>
    <x v="15"/>
    <x v="1"/>
    <x v="15"/>
    <x v="0"/>
    <x v="15"/>
    <x v="0"/>
    <x v="1"/>
    <x v="3"/>
    <x v="7"/>
    <x v="4"/>
    <x v="3"/>
    <x v="0"/>
    <x v="0"/>
    <x v="15"/>
    <x v="7"/>
    <x v="15"/>
    <x v="14"/>
    <x v="0"/>
    <x v="0"/>
  </r>
  <r>
    <x v="16"/>
    <x v="16"/>
    <x v="16"/>
    <x v="1"/>
    <x v="16"/>
    <x v="0"/>
    <x v="16"/>
    <x v="0"/>
    <x v="1"/>
    <x v="3"/>
    <x v="0"/>
    <x v="4"/>
    <x v="3"/>
    <x v="0"/>
    <x v="0"/>
    <x v="16"/>
    <x v="7"/>
    <x v="16"/>
    <x v="15"/>
    <x v="0"/>
    <x v="0"/>
  </r>
  <r>
    <x v="17"/>
    <x v="17"/>
    <x v="17"/>
    <x v="1"/>
    <x v="17"/>
    <x v="0"/>
    <x v="17"/>
    <x v="0"/>
    <x v="1"/>
    <x v="3"/>
    <x v="1"/>
    <x v="4"/>
    <x v="3"/>
    <x v="0"/>
    <x v="0"/>
    <x v="17"/>
    <x v="7"/>
    <x v="17"/>
    <x v="16"/>
    <x v="0"/>
    <x v="0"/>
  </r>
  <r>
    <x v="18"/>
    <x v="18"/>
    <x v="18"/>
    <x v="1"/>
    <x v="18"/>
    <x v="1"/>
    <x v="18"/>
    <x v="0"/>
    <x v="1"/>
    <x v="3"/>
    <x v="2"/>
    <x v="4"/>
    <x v="3"/>
    <x v="0"/>
    <x v="0"/>
    <x v="18"/>
    <x v="7"/>
    <x v="18"/>
    <x v="17"/>
    <x v="0"/>
    <x v="0"/>
  </r>
  <r>
    <x v="19"/>
    <x v="19"/>
    <x v="19"/>
    <x v="1"/>
    <x v="19"/>
    <x v="1"/>
    <x v="19"/>
    <x v="0"/>
    <x v="1"/>
    <x v="3"/>
    <x v="3"/>
    <x v="4"/>
    <x v="3"/>
    <x v="0"/>
    <x v="0"/>
    <x v="19"/>
    <x v="7"/>
    <x v="19"/>
    <x v="18"/>
    <x v="0"/>
    <x v="0"/>
  </r>
  <r>
    <x v="20"/>
    <x v="20"/>
    <x v="20"/>
    <x v="1"/>
    <x v="20"/>
    <x v="1"/>
    <x v="20"/>
    <x v="0"/>
    <x v="1"/>
    <x v="3"/>
    <x v="4"/>
    <x v="4"/>
    <x v="3"/>
    <x v="0"/>
    <x v="0"/>
    <x v="20"/>
    <x v="7"/>
    <x v="20"/>
    <x v="19"/>
    <x v="0"/>
    <x v="0"/>
  </r>
  <r>
    <x v="21"/>
    <x v="21"/>
    <x v="21"/>
    <x v="1"/>
    <x v="21"/>
    <x v="1"/>
    <x v="21"/>
    <x v="0"/>
    <x v="1"/>
    <x v="3"/>
    <x v="5"/>
    <x v="4"/>
    <x v="3"/>
    <x v="0"/>
    <x v="0"/>
    <x v="21"/>
    <x v="7"/>
    <x v="21"/>
    <x v="20"/>
    <x v="0"/>
    <x v="0"/>
  </r>
  <r>
    <x v="22"/>
    <x v="22"/>
    <x v="22"/>
    <x v="1"/>
    <x v="22"/>
    <x v="2"/>
    <x v="22"/>
    <x v="0"/>
    <x v="1"/>
    <x v="3"/>
    <x v="6"/>
    <x v="4"/>
    <x v="3"/>
    <x v="0"/>
    <x v="0"/>
    <x v="22"/>
    <x v="7"/>
    <x v="22"/>
    <x v="21"/>
    <x v="0"/>
    <x v="0"/>
  </r>
  <r>
    <x v="23"/>
    <x v="23"/>
    <x v="23"/>
    <x v="1"/>
    <x v="23"/>
    <x v="2"/>
    <x v="23"/>
    <x v="0"/>
    <x v="1"/>
    <x v="0"/>
    <x v="7"/>
    <x v="4"/>
    <x v="3"/>
    <x v="0"/>
    <x v="0"/>
    <x v="23"/>
    <x v="7"/>
    <x v="23"/>
    <x v="22"/>
    <x v="0"/>
    <x v="0"/>
  </r>
  <r>
    <x v="24"/>
    <x v="24"/>
    <x v="24"/>
    <x v="1"/>
    <x v="24"/>
    <x v="2"/>
    <x v="24"/>
    <x v="0"/>
    <x v="1"/>
    <x v="2"/>
    <x v="0"/>
    <x v="4"/>
    <x v="3"/>
    <x v="0"/>
    <x v="0"/>
    <x v="24"/>
    <x v="7"/>
    <x v="24"/>
    <x v="23"/>
    <x v="0"/>
    <x v="0"/>
  </r>
  <r>
    <x v="25"/>
    <x v="25"/>
    <x v="25"/>
    <x v="1"/>
    <x v="25"/>
    <x v="2"/>
    <x v="25"/>
    <x v="0"/>
    <x v="1"/>
    <x v="1"/>
    <x v="1"/>
    <x v="4"/>
    <x v="1"/>
    <x v="0"/>
    <x v="0"/>
    <x v="25"/>
    <x v="7"/>
    <x v="25"/>
    <x v="24"/>
    <x v="0"/>
    <x v="0"/>
  </r>
  <r>
    <x v="26"/>
    <x v="26"/>
    <x v="26"/>
    <x v="1"/>
    <x v="26"/>
    <x v="2"/>
    <x v="26"/>
    <x v="0"/>
    <x v="1"/>
    <x v="1"/>
    <x v="2"/>
    <x v="4"/>
    <x v="1"/>
    <x v="0"/>
    <x v="0"/>
    <x v="26"/>
    <x v="7"/>
    <x v="26"/>
    <x v="4"/>
    <x v="0"/>
    <x v="0"/>
  </r>
  <r>
    <x v="27"/>
    <x v="27"/>
    <x v="27"/>
    <x v="1"/>
    <x v="27"/>
    <x v="2"/>
    <x v="27"/>
    <x v="0"/>
    <x v="1"/>
    <x v="1"/>
    <x v="3"/>
    <x v="0"/>
    <x v="1"/>
    <x v="0"/>
    <x v="0"/>
    <x v="27"/>
    <x v="7"/>
    <x v="27"/>
    <x v="25"/>
    <x v="0"/>
    <x v="0"/>
  </r>
  <r>
    <x v="28"/>
    <x v="28"/>
    <x v="28"/>
    <x v="1"/>
    <x v="28"/>
    <x v="0"/>
    <x v="28"/>
    <x v="1"/>
    <x v="1"/>
    <x v="1"/>
    <x v="4"/>
    <x v="1"/>
    <x v="1"/>
    <x v="0"/>
    <x v="0"/>
    <x v="28"/>
    <x v="7"/>
    <x v="0"/>
    <x v="26"/>
    <x v="0"/>
    <x v="0"/>
  </r>
  <r>
    <x v="29"/>
    <x v="29"/>
    <x v="29"/>
    <x v="1"/>
    <x v="29"/>
    <x v="0"/>
    <x v="29"/>
    <x v="1"/>
    <x v="1"/>
    <x v="1"/>
    <x v="5"/>
    <x v="4"/>
    <x v="1"/>
    <x v="0"/>
    <x v="0"/>
    <x v="29"/>
    <x v="7"/>
    <x v="1"/>
    <x v="27"/>
    <x v="0"/>
    <x v="0"/>
  </r>
  <r>
    <x v="30"/>
    <x v="30"/>
    <x v="30"/>
    <x v="1"/>
    <x v="30"/>
    <x v="0"/>
    <x v="30"/>
    <x v="1"/>
    <x v="1"/>
    <x v="1"/>
    <x v="6"/>
    <x v="2"/>
    <x v="1"/>
    <x v="0"/>
    <x v="0"/>
    <x v="30"/>
    <x v="7"/>
    <x v="2"/>
    <x v="28"/>
    <x v="0"/>
    <x v="0"/>
  </r>
  <r>
    <x v="31"/>
    <x v="31"/>
    <x v="31"/>
    <x v="1"/>
    <x v="31"/>
    <x v="1"/>
    <x v="31"/>
    <x v="1"/>
    <x v="2"/>
    <x v="1"/>
    <x v="7"/>
    <x v="5"/>
    <x v="1"/>
    <x v="0"/>
    <x v="0"/>
    <x v="31"/>
    <x v="7"/>
    <x v="3"/>
    <x v="29"/>
    <x v="0"/>
    <x v="0"/>
  </r>
  <r>
    <x v="32"/>
    <x v="32"/>
    <x v="32"/>
    <x v="1"/>
    <x v="32"/>
    <x v="1"/>
    <x v="32"/>
    <x v="1"/>
    <x v="2"/>
    <x v="1"/>
    <x v="0"/>
    <x v="1"/>
    <x v="1"/>
    <x v="0"/>
    <x v="0"/>
    <x v="32"/>
    <x v="7"/>
    <x v="4"/>
    <x v="30"/>
    <x v="0"/>
    <x v="0"/>
  </r>
  <r>
    <x v="33"/>
    <x v="33"/>
    <x v="33"/>
    <x v="1"/>
    <x v="33"/>
    <x v="1"/>
    <x v="33"/>
    <x v="1"/>
    <x v="2"/>
    <x v="1"/>
    <x v="1"/>
    <x v="4"/>
    <x v="1"/>
    <x v="0"/>
    <x v="0"/>
    <x v="33"/>
    <x v="7"/>
    <x v="5"/>
    <x v="31"/>
    <x v="0"/>
    <x v="0"/>
  </r>
  <r>
    <x v="34"/>
    <x v="34"/>
    <x v="34"/>
    <x v="1"/>
    <x v="34"/>
    <x v="1"/>
    <x v="34"/>
    <x v="1"/>
    <x v="2"/>
    <x v="1"/>
    <x v="2"/>
    <x v="2"/>
    <x v="1"/>
    <x v="0"/>
    <x v="0"/>
    <x v="34"/>
    <x v="7"/>
    <x v="6"/>
    <x v="32"/>
    <x v="0"/>
    <x v="0"/>
  </r>
  <r>
    <x v="35"/>
    <x v="35"/>
    <x v="35"/>
    <x v="1"/>
    <x v="35"/>
    <x v="2"/>
    <x v="35"/>
    <x v="1"/>
    <x v="2"/>
    <x v="1"/>
    <x v="3"/>
    <x v="4"/>
    <x v="1"/>
    <x v="0"/>
    <x v="0"/>
    <x v="35"/>
    <x v="7"/>
    <x v="7"/>
    <x v="33"/>
    <x v="0"/>
    <x v="0"/>
  </r>
  <r>
    <x v="36"/>
    <x v="36"/>
    <x v="36"/>
    <x v="1"/>
    <x v="36"/>
    <x v="2"/>
    <x v="36"/>
    <x v="1"/>
    <x v="2"/>
    <x v="0"/>
    <x v="4"/>
    <x v="1"/>
    <x v="0"/>
    <x v="0"/>
    <x v="0"/>
    <x v="36"/>
    <x v="7"/>
    <x v="8"/>
    <x v="34"/>
    <x v="0"/>
    <x v="0"/>
  </r>
  <r>
    <x v="37"/>
    <x v="37"/>
    <x v="37"/>
    <x v="1"/>
    <x v="37"/>
    <x v="2"/>
    <x v="37"/>
    <x v="1"/>
    <x v="2"/>
    <x v="0"/>
    <x v="5"/>
    <x v="1"/>
    <x v="0"/>
    <x v="0"/>
    <x v="0"/>
    <x v="37"/>
    <x v="7"/>
    <x v="9"/>
    <x v="35"/>
    <x v="0"/>
    <x v="0"/>
  </r>
  <r>
    <x v="38"/>
    <x v="38"/>
    <x v="38"/>
    <x v="1"/>
    <x v="38"/>
    <x v="2"/>
    <x v="38"/>
    <x v="1"/>
    <x v="2"/>
    <x v="0"/>
    <x v="6"/>
    <x v="1"/>
    <x v="0"/>
    <x v="0"/>
    <x v="0"/>
    <x v="38"/>
    <x v="6"/>
    <x v="10"/>
    <x v="36"/>
    <x v="0"/>
    <x v="0"/>
  </r>
  <r>
    <x v="39"/>
    <x v="39"/>
    <x v="39"/>
    <x v="1"/>
    <x v="39"/>
    <x v="2"/>
    <x v="39"/>
    <x v="1"/>
    <x v="2"/>
    <x v="0"/>
    <x v="7"/>
    <x v="1"/>
    <x v="0"/>
    <x v="0"/>
    <x v="0"/>
    <x v="39"/>
    <x v="6"/>
    <x v="11"/>
    <x v="37"/>
    <x v="0"/>
    <x v="0"/>
  </r>
  <r>
    <x v="40"/>
    <x v="40"/>
    <x v="40"/>
    <x v="1"/>
    <x v="40"/>
    <x v="2"/>
    <x v="40"/>
    <x v="1"/>
    <x v="2"/>
    <x v="0"/>
    <x v="0"/>
    <x v="1"/>
    <x v="0"/>
    <x v="0"/>
    <x v="0"/>
    <x v="40"/>
    <x v="6"/>
    <x v="12"/>
    <x v="38"/>
    <x v="0"/>
    <x v="0"/>
  </r>
  <r>
    <x v="41"/>
    <x v="41"/>
    <x v="41"/>
    <x v="1"/>
    <x v="41"/>
    <x v="0"/>
    <x v="41"/>
    <x v="1"/>
    <x v="2"/>
    <x v="0"/>
    <x v="1"/>
    <x v="1"/>
    <x v="0"/>
    <x v="0"/>
    <x v="0"/>
    <x v="41"/>
    <x v="6"/>
    <x v="13"/>
    <x v="39"/>
    <x v="0"/>
    <x v="0"/>
  </r>
  <r>
    <x v="42"/>
    <x v="42"/>
    <x v="42"/>
    <x v="1"/>
    <x v="42"/>
    <x v="0"/>
    <x v="42"/>
    <x v="1"/>
    <x v="2"/>
    <x v="0"/>
    <x v="2"/>
    <x v="1"/>
    <x v="0"/>
    <x v="0"/>
    <x v="0"/>
    <x v="42"/>
    <x v="6"/>
    <x v="14"/>
    <x v="40"/>
    <x v="0"/>
    <x v="0"/>
  </r>
  <r>
    <x v="43"/>
    <x v="43"/>
    <x v="43"/>
    <x v="1"/>
    <x v="43"/>
    <x v="0"/>
    <x v="43"/>
    <x v="1"/>
    <x v="2"/>
    <x v="0"/>
    <x v="3"/>
    <x v="1"/>
    <x v="0"/>
    <x v="0"/>
    <x v="0"/>
    <x v="43"/>
    <x v="6"/>
    <x v="15"/>
    <x v="41"/>
    <x v="0"/>
    <x v="0"/>
  </r>
  <r>
    <x v="44"/>
    <x v="44"/>
    <x v="44"/>
    <x v="1"/>
    <x v="44"/>
    <x v="1"/>
    <x v="44"/>
    <x v="1"/>
    <x v="2"/>
    <x v="0"/>
    <x v="4"/>
    <x v="1"/>
    <x v="0"/>
    <x v="0"/>
    <x v="0"/>
    <x v="44"/>
    <x v="6"/>
    <x v="16"/>
    <x v="42"/>
    <x v="0"/>
    <x v="0"/>
  </r>
  <r>
    <x v="45"/>
    <x v="45"/>
    <x v="45"/>
    <x v="1"/>
    <x v="45"/>
    <x v="1"/>
    <x v="45"/>
    <x v="1"/>
    <x v="2"/>
    <x v="0"/>
    <x v="5"/>
    <x v="1"/>
    <x v="0"/>
    <x v="0"/>
    <x v="0"/>
    <x v="45"/>
    <x v="6"/>
    <x v="17"/>
    <x v="43"/>
    <x v="0"/>
    <x v="0"/>
  </r>
  <r>
    <x v="46"/>
    <x v="46"/>
    <x v="46"/>
    <x v="1"/>
    <x v="46"/>
    <x v="1"/>
    <x v="46"/>
    <x v="1"/>
    <x v="2"/>
    <x v="0"/>
    <x v="6"/>
    <x v="1"/>
    <x v="0"/>
    <x v="0"/>
    <x v="0"/>
    <x v="46"/>
    <x v="6"/>
    <x v="18"/>
    <x v="44"/>
    <x v="0"/>
    <x v="0"/>
  </r>
  <r>
    <x v="47"/>
    <x v="47"/>
    <x v="47"/>
    <x v="1"/>
    <x v="47"/>
    <x v="1"/>
    <x v="47"/>
    <x v="1"/>
    <x v="2"/>
    <x v="0"/>
    <x v="7"/>
    <x v="1"/>
    <x v="0"/>
    <x v="0"/>
    <x v="0"/>
    <x v="47"/>
    <x v="6"/>
    <x v="19"/>
    <x v="45"/>
    <x v="0"/>
    <x v="0"/>
  </r>
  <r>
    <x v="48"/>
    <x v="48"/>
    <x v="48"/>
    <x v="1"/>
    <x v="48"/>
    <x v="2"/>
    <x v="48"/>
    <x v="1"/>
    <x v="2"/>
    <x v="0"/>
    <x v="0"/>
    <x v="1"/>
    <x v="0"/>
    <x v="0"/>
    <x v="0"/>
    <x v="48"/>
    <x v="6"/>
    <x v="20"/>
    <x v="46"/>
    <x v="0"/>
    <x v="0"/>
  </r>
  <r>
    <x v="49"/>
    <x v="49"/>
    <x v="49"/>
    <x v="1"/>
    <x v="49"/>
    <x v="2"/>
    <x v="49"/>
    <x v="1"/>
    <x v="2"/>
    <x v="0"/>
    <x v="1"/>
    <x v="1"/>
    <x v="0"/>
    <x v="0"/>
    <x v="0"/>
    <x v="49"/>
    <x v="6"/>
    <x v="21"/>
    <x v="47"/>
    <x v="0"/>
    <x v="0"/>
  </r>
  <r>
    <x v="50"/>
    <x v="50"/>
    <x v="50"/>
    <x v="1"/>
    <x v="50"/>
    <x v="2"/>
    <x v="50"/>
    <x v="1"/>
    <x v="2"/>
    <x v="0"/>
    <x v="2"/>
    <x v="1"/>
    <x v="0"/>
    <x v="0"/>
    <x v="0"/>
    <x v="50"/>
    <x v="6"/>
    <x v="22"/>
    <x v="48"/>
    <x v="0"/>
    <x v="0"/>
  </r>
  <r>
    <x v="51"/>
    <x v="51"/>
    <x v="51"/>
    <x v="1"/>
    <x v="51"/>
    <x v="2"/>
    <x v="51"/>
    <x v="1"/>
    <x v="2"/>
    <x v="0"/>
    <x v="3"/>
    <x v="1"/>
    <x v="0"/>
    <x v="0"/>
    <x v="0"/>
    <x v="51"/>
    <x v="6"/>
    <x v="23"/>
    <x v="5"/>
    <x v="0"/>
    <x v="0"/>
  </r>
  <r>
    <x v="52"/>
    <x v="52"/>
    <x v="52"/>
    <x v="1"/>
    <x v="52"/>
    <x v="2"/>
    <x v="52"/>
    <x v="1"/>
    <x v="2"/>
    <x v="0"/>
    <x v="4"/>
    <x v="1"/>
    <x v="0"/>
    <x v="0"/>
    <x v="0"/>
    <x v="52"/>
    <x v="6"/>
    <x v="24"/>
    <x v="49"/>
    <x v="0"/>
    <x v="0"/>
  </r>
  <r>
    <x v="53"/>
    <x v="53"/>
    <x v="53"/>
    <x v="1"/>
    <x v="53"/>
    <x v="2"/>
    <x v="53"/>
    <x v="1"/>
    <x v="2"/>
    <x v="0"/>
    <x v="5"/>
    <x v="1"/>
    <x v="0"/>
    <x v="0"/>
    <x v="0"/>
    <x v="53"/>
    <x v="6"/>
    <x v="25"/>
    <x v="50"/>
    <x v="0"/>
    <x v="0"/>
  </r>
  <r>
    <x v="54"/>
    <x v="54"/>
    <x v="54"/>
    <x v="1"/>
    <x v="54"/>
    <x v="1"/>
    <x v="54"/>
    <x v="1"/>
    <x v="2"/>
    <x v="0"/>
    <x v="6"/>
    <x v="1"/>
    <x v="0"/>
    <x v="0"/>
    <x v="0"/>
    <x v="54"/>
    <x v="6"/>
    <x v="26"/>
    <x v="51"/>
    <x v="0"/>
    <x v="0"/>
  </r>
  <r>
    <x v="55"/>
    <x v="55"/>
    <x v="55"/>
    <x v="1"/>
    <x v="19"/>
    <x v="1"/>
    <x v="55"/>
    <x v="1"/>
    <x v="2"/>
    <x v="0"/>
    <x v="7"/>
    <x v="4"/>
    <x v="0"/>
    <x v="0"/>
    <x v="0"/>
    <x v="55"/>
    <x v="6"/>
    <x v="27"/>
    <x v="52"/>
    <x v="0"/>
    <x v="0"/>
  </r>
  <r>
    <x v="56"/>
    <x v="56"/>
    <x v="56"/>
    <x v="1"/>
    <x v="20"/>
    <x v="1"/>
    <x v="56"/>
    <x v="1"/>
    <x v="2"/>
    <x v="0"/>
    <x v="0"/>
    <x v="0"/>
    <x v="0"/>
    <x v="0"/>
    <x v="0"/>
    <x v="56"/>
    <x v="6"/>
    <x v="0"/>
    <x v="53"/>
    <x v="0"/>
    <x v="0"/>
  </r>
  <r>
    <x v="57"/>
    <x v="57"/>
    <x v="57"/>
    <x v="1"/>
    <x v="21"/>
    <x v="1"/>
    <x v="57"/>
    <x v="1"/>
    <x v="2"/>
    <x v="0"/>
    <x v="1"/>
    <x v="0"/>
    <x v="0"/>
    <x v="0"/>
    <x v="0"/>
    <x v="9"/>
    <x v="6"/>
    <x v="1"/>
    <x v="54"/>
    <x v="0"/>
    <x v="0"/>
  </r>
  <r>
    <x v="58"/>
    <x v="58"/>
    <x v="58"/>
    <x v="1"/>
    <x v="22"/>
    <x v="2"/>
    <x v="58"/>
    <x v="1"/>
    <x v="2"/>
    <x v="0"/>
    <x v="2"/>
    <x v="0"/>
    <x v="0"/>
    <x v="0"/>
    <x v="0"/>
    <x v="57"/>
    <x v="6"/>
    <x v="2"/>
    <x v="55"/>
    <x v="0"/>
    <x v="0"/>
  </r>
  <r>
    <x v="59"/>
    <x v="59"/>
    <x v="59"/>
    <x v="1"/>
    <x v="23"/>
    <x v="2"/>
    <x v="59"/>
    <x v="2"/>
    <x v="2"/>
    <x v="0"/>
    <x v="3"/>
    <x v="0"/>
    <x v="0"/>
    <x v="0"/>
    <x v="0"/>
    <x v="58"/>
    <x v="6"/>
    <x v="3"/>
    <x v="56"/>
    <x v="0"/>
    <x v="0"/>
  </r>
  <r>
    <x v="60"/>
    <x v="60"/>
    <x v="60"/>
    <x v="1"/>
    <x v="24"/>
    <x v="2"/>
    <x v="60"/>
    <x v="2"/>
    <x v="2"/>
    <x v="0"/>
    <x v="4"/>
    <x v="0"/>
    <x v="0"/>
    <x v="0"/>
    <x v="0"/>
    <x v="59"/>
    <x v="6"/>
    <x v="4"/>
    <x v="57"/>
    <x v="0"/>
    <x v="0"/>
  </r>
  <r>
    <x v="61"/>
    <x v="61"/>
    <x v="61"/>
    <x v="1"/>
    <x v="25"/>
    <x v="2"/>
    <x v="61"/>
    <x v="2"/>
    <x v="2"/>
    <x v="0"/>
    <x v="5"/>
    <x v="0"/>
    <x v="0"/>
    <x v="0"/>
    <x v="0"/>
    <x v="60"/>
    <x v="6"/>
    <x v="5"/>
    <x v="58"/>
    <x v="0"/>
    <x v="0"/>
  </r>
  <r>
    <x v="62"/>
    <x v="62"/>
    <x v="62"/>
    <x v="1"/>
    <x v="26"/>
    <x v="2"/>
    <x v="62"/>
    <x v="2"/>
    <x v="2"/>
    <x v="0"/>
    <x v="6"/>
    <x v="0"/>
    <x v="0"/>
    <x v="0"/>
    <x v="0"/>
    <x v="61"/>
    <x v="6"/>
    <x v="6"/>
    <x v="59"/>
    <x v="0"/>
    <x v="0"/>
  </r>
  <r>
    <x v="63"/>
    <x v="63"/>
    <x v="63"/>
    <x v="1"/>
    <x v="27"/>
    <x v="2"/>
    <x v="63"/>
    <x v="2"/>
    <x v="2"/>
    <x v="0"/>
    <x v="7"/>
    <x v="0"/>
    <x v="0"/>
    <x v="0"/>
    <x v="0"/>
    <x v="62"/>
    <x v="6"/>
    <x v="7"/>
    <x v="60"/>
    <x v="0"/>
    <x v="0"/>
  </r>
  <r>
    <x v="64"/>
    <x v="64"/>
    <x v="64"/>
    <x v="1"/>
    <x v="2"/>
    <x v="0"/>
    <x v="64"/>
    <x v="2"/>
    <x v="2"/>
    <x v="0"/>
    <x v="0"/>
    <x v="0"/>
    <x v="0"/>
    <x v="0"/>
    <x v="0"/>
    <x v="63"/>
    <x v="6"/>
    <x v="8"/>
    <x v="61"/>
    <x v="0"/>
    <x v="0"/>
  </r>
  <r>
    <x v="65"/>
    <x v="65"/>
    <x v="65"/>
    <x v="1"/>
    <x v="17"/>
    <x v="0"/>
    <x v="65"/>
    <x v="2"/>
    <x v="2"/>
    <x v="0"/>
    <x v="1"/>
    <x v="0"/>
    <x v="0"/>
    <x v="0"/>
    <x v="0"/>
    <x v="64"/>
    <x v="6"/>
    <x v="9"/>
    <x v="62"/>
    <x v="0"/>
    <x v="0"/>
  </r>
  <r>
    <x v="66"/>
    <x v="66"/>
    <x v="66"/>
    <x v="1"/>
    <x v="18"/>
    <x v="1"/>
    <x v="66"/>
    <x v="2"/>
    <x v="2"/>
    <x v="0"/>
    <x v="2"/>
    <x v="0"/>
    <x v="0"/>
    <x v="0"/>
    <x v="0"/>
    <x v="13"/>
    <x v="3"/>
    <x v="10"/>
    <x v="63"/>
    <x v="0"/>
    <x v="0"/>
  </r>
  <r>
    <x v="67"/>
    <x v="67"/>
    <x v="67"/>
    <x v="1"/>
    <x v="32"/>
    <x v="1"/>
    <x v="67"/>
    <x v="2"/>
    <x v="2"/>
    <x v="0"/>
    <x v="3"/>
    <x v="0"/>
    <x v="0"/>
    <x v="0"/>
    <x v="0"/>
    <x v="65"/>
    <x v="3"/>
    <x v="11"/>
    <x v="64"/>
    <x v="0"/>
    <x v="0"/>
  </r>
  <r>
    <x v="68"/>
    <x v="68"/>
    <x v="68"/>
    <x v="1"/>
    <x v="33"/>
    <x v="1"/>
    <x v="68"/>
    <x v="2"/>
    <x v="2"/>
    <x v="0"/>
    <x v="4"/>
    <x v="0"/>
    <x v="0"/>
    <x v="0"/>
    <x v="0"/>
    <x v="66"/>
    <x v="3"/>
    <x v="12"/>
    <x v="65"/>
    <x v="0"/>
    <x v="0"/>
  </r>
  <r>
    <x v="69"/>
    <x v="69"/>
    <x v="69"/>
    <x v="1"/>
    <x v="34"/>
    <x v="1"/>
    <x v="69"/>
    <x v="2"/>
    <x v="2"/>
    <x v="2"/>
    <x v="5"/>
    <x v="0"/>
    <x v="0"/>
    <x v="0"/>
    <x v="0"/>
    <x v="67"/>
    <x v="3"/>
    <x v="13"/>
    <x v="66"/>
    <x v="0"/>
    <x v="0"/>
  </r>
  <r>
    <x v="70"/>
    <x v="70"/>
    <x v="70"/>
    <x v="1"/>
    <x v="35"/>
    <x v="2"/>
    <x v="70"/>
    <x v="2"/>
    <x v="2"/>
    <x v="1"/>
    <x v="6"/>
    <x v="0"/>
    <x v="0"/>
    <x v="0"/>
    <x v="0"/>
    <x v="68"/>
    <x v="3"/>
    <x v="14"/>
    <x v="67"/>
    <x v="0"/>
    <x v="0"/>
  </r>
  <r>
    <x v="71"/>
    <x v="71"/>
    <x v="71"/>
    <x v="1"/>
    <x v="36"/>
    <x v="2"/>
    <x v="71"/>
    <x v="2"/>
    <x v="2"/>
    <x v="4"/>
    <x v="7"/>
    <x v="0"/>
    <x v="0"/>
    <x v="0"/>
    <x v="0"/>
    <x v="69"/>
    <x v="3"/>
    <x v="15"/>
    <x v="68"/>
    <x v="0"/>
    <x v="0"/>
  </r>
  <r>
    <x v="72"/>
    <x v="72"/>
    <x v="72"/>
    <x v="1"/>
    <x v="37"/>
    <x v="2"/>
    <x v="72"/>
    <x v="2"/>
    <x v="2"/>
    <x v="5"/>
    <x v="0"/>
    <x v="0"/>
    <x v="0"/>
    <x v="0"/>
    <x v="0"/>
    <x v="70"/>
    <x v="3"/>
    <x v="16"/>
    <x v="69"/>
    <x v="0"/>
    <x v="0"/>
  </r>
  <r>
    <x v="73"/>
    <x v="73"/>
    <x v="73"/>
    <x v="1"/>
    <x v="38"/>
    <x v="2"/>
    <x v="73"/>
    <x v="2"/>
    <x v="2"/>
    <x v="5"/>
    <x v="1"/>
    <x v="4"/>
    <x v="0"/>
    <x v="0"/>
    <x v="0"/>
    <x v="71"/>
    <x v="3"/>
    <x v="17"/>
    <x v="70"/>
    <x v="0"/>
    <x v="0"/>
  </r>
  <r>
    <x v="74"/>
    <x v="74"/>
    <x v="74"/>
    <x v="1"/>
    <x v="39"/>
    <x v="2"/>
    <x v="74"/>
    <x v="2"/>
    <x v="2"/>
    <x v="5"/>
    <x v="2"/>
    <x v="5"/>
    <x v="0"/>
    <x v="0"/>
    <x v="0"/>
    <x v="72"/>
    <x v="3"/>
    <x v="18"/>
    <x v="71"/>
    <x v="0"/>
    <x v="0"/>
  </r>
  <r>
    <x v="75"/>
    <x v="75"/>
    <x v="75"/>
    <x v="1"/>
    <x v="40"/>
    <x v="2"/>
    <x v="75"/>
    <x v="2"/>
    <x v="2"/>
    <x v="5"/>
    <x v="3"/>
    <x v="1"/>
    <x v="0"/>
    <x v="0"/>
    <x v="0"/>
    <x v="73"/>
    <x v="3"/>
    <x v="19"/>
    <x v="72"/>
    <x v="0"/>
    <x v="0"/>
  </r>
  <r>
    <x v="76"/>
    <x v="76"/>
    <x v="76"/>
    <x v="1"/>
    <x v="16"/>
    <x v="0"/>
    <x v="76"/>
    <x v="2"/>
    <x v="2"/>
    <x v="5"/>
    <x v="4"/>
    <x v="2"/>
    <x v="0"/>
    <x v="0"/>
    <x v="0"/>
    <x v="74"/>
    <x v="3"/>
    <x v="20"/>
    <x v="73"/>
    <x v="0"/>
    <x v="0"/>
  </r>
  <r>
    <x v="77"/>
    <x v="77"/>
    <x v="77"/>
    <x v="1"/>
    <x v="30"/>
    <x v="0"/>
    <x v="77"/>
    <x v="2"/>
    <x v="2"/>
    <x v="5"/>
    <x v="5"/>
    <x v="2"/>
    <x v="0"/>
    <x v="0"/>
    <x v="0"/>
    <x v="75"/>
    <x v="3"/>
    <x v="21"/>
    <x v="74"/>
    <x v="0"/>
    <x v="0"/>
  </r>
  <r>
    <x v="78"/>
    <x v="78"/>
    <x v="78"/>
    <x v="1"/>
    <x v="31"/>
    <x v="1"/>
    <x v="78"/>
    <x v="2"/>
    <x v="2"/>
    <x v="2"/>
    <x v="6"/>
    <x v="2"/>
    <x v="0"/>
    <x v="0"/>
    <x v="0"/>
    <x v="76"/>
    <x v="3"/>
    <x v="22"/>
    <x v="75"/>
    <x v="0"/>
    <x v="0"/>
  </r>
  <r>
    <x v="79"/>
    <x v="79"/>
    <x v="79"/>
    <x v="1"/>
    <x v="45"/>
    <x v="1"/>
    <x v="79"/>
    <x v="2"/>
    <x v="2"/>
    <x v="1"/>
    <x v="7"/>
    <x v="2"/>
    <x v="0"/>
    <x v="0"/>
    <x v="0"/>
    <x v="77"/>
    <x v="3"/>
    <x v="23"/>
    <x v="76"/>
    <x v="0"/>
    <x v="0"/>
  </r>
  <r>
    <x v="80"/>
    <x v="80"/>
    <x v="80"/>
    <x v="1"/>
    <x v="46"/>
    <x v="1"/>
    <x v="80"/>
    <x v="2"/>
    <x v="2"/>
    <x v="0"/>
    <x v="0"/>
    <x v="2"/>
    <x v="0"/>
    <x v="0"/>
    <x v="0"/>
    <x v="78"/>
    <x v="3"/>
    <x v="24"/>
    <x v="77"/>
    <x v="0"/>
    <x v="0"/>
  </r>
  <r>
    <x v="81"/>
    <x v="81"/>
    <x v="81"/>
    <x v="1"/>
    <x v="47"/>
    <x v="1"/>
    <x v="81"/>
    <x v="2"/>
    <x v="2"/>
    <x v="3"/>
    <x v="1"/>
    <x v="2"/>
    <x v="0"/>
    <x v="0"/>
    <x v="0"/>
    <x v="79"/>
    <x v="3"/>
    <x v="25"/>
    <x v="78"/>
    <x v="0"/>
    <x v="0"/>
  </r>
  <r>
    <x v="82"/>
    <x v="82"/>
    <x v="82"/>
    <x v="1"/>
    <x v="48"/>
    <x v="2"/>
    <x v="82"/>
    <x v="2"/>
    <x v="2"/>
    <x v="4"/>
    <x v="2"/>
    <x v="2"/>
    <x v="0"/>
    <x v="0"/>
    <x v="0"/>
    <x v="80"/>
    <x v="3"/>
    <x v="26"/>
    <x v="79"/>
    <x v="0"/>
    <x v="0"/>
  </r>
  <r>
    <x v="83"/>
    <x v="83"/>
    <x v="83"/>
    <x v="1"/>
    <x v="49"/>
    <x v="2"/>
    <x v="83"/>
    <x v="2"/>
    <x v="0"/>
    <x v="4"/>
    <x v="3"/>
    <x v="2"/>
    <x v="0"/>
    <x v="0"/>
    <x v="0"/>
    <x v="81"/>
    <x v="3"/>
    <x v="27"/>
    <x v="80"/>
    <x v="0"/>
    <x v="0"/>
  </r>
  <r>
    <x v="84"/>
    <x v="84"/>
    <x v="84"/>
    <x v="1"/>
    <x v="50"/>
    <x v="2"/>
    <x v="84"/>
    <x v="2"/>
    <x v="0"/>
    <x v="4"/>
    <x v="4"/>
    <x v="2"/>
    <x v="0"/>
    <x v="0"/>
    <x v="0"/>
    <x v="82"/>
    <x v="3"/>
    <x v="0"/>
    <x v="81"/>
    <x v="0"/>
    <x v="0"/>
  </r>
  <r>
    <x v="85"/>
    <x v="85"/>
    <x v="85"/>
    <x v="1"/>
    <x v="51"/>
    <x v="2"/>
    <x v="85"/>
    <x v="2"/>
    <x v="0"/>
    <x v="4"/>
    <x v="5"/>
    <x v="4"/>
    <x v="0"/>
    <x v="0"/>
    <x v="0"/>
    <x v="83"/>
    <x v="3"/>
    <x v="1"/>
    <x v="82"/>
    <x v="0"/>
    <x v="0"/>
  </r>
  <r>
    <x v="86"/>
    <x v="86"/>
    <x v="86"/>
    <x v="1"/>
    <x v="52"/>
    <x v="2"/>
    <x v="86"/>
    <x v="2"/>
    <x v="0"/>
    <x v="4"/>
    <x v="6"/>
    <x v="2"/>
    <x v="0"/>
    <x v="0"/>
    <x v="0"/>
    <x v="84"/>
    <x v="3"/>
    <x v="2"/>
    <x v="83"/>
    <x v="0"/>
    <x v="0"/>
  </r>
  <r>
    <x v="87"/>
    <x v="87"/>
    <x v="87"/>
    <x v="1"/>
    <x v="53"/>
    <x v="2"/>
    <x v="87"/>
    <x v="3"/>
    <x v="0"/>
    <x v="4"/>
    <x v="7"/>
    <x v="1"/>
    <x v="0"/>
    <x v="0"/>
    <x v="0"/>
    <x v="85"/>
    <x v="3"/>
    <x v="3"/>
    <x v="84"/>
    <x v="0"/>
    <x v="0"/>
  </r>
  <r>
    <x v="88"/>
    <x v="88"/>
    <x v="88"/>
    <x v="1"/>
    <x v="29"/>
    <x v="0"/>
    <x v="88"/>
    <x v="3"/>
    <x v="0"/>
    <x v="4"/>
    <x v="0"/>
    <x v="0"/>
    <x v="0"/>
    <x v="0"/>
    <x v="0"/>
    <x v="86"/>
    <x v="3"/>
    <x v="4"/>
    <x v="85"/>
    <x v="0"/>
    <x v="0"/>
  </r>
  <r>
    <x v="89"/>
    <x v="89"/>
    <x v="89"/>
    <x v="1"/>
    <x v="43"/>
    <x v="0"/>
    <x v="89"/>
    <x v="3"/>
    <x v="0"/>
    <x v="4"/>
    <x v="1"/>
    <x v="4"/>
    <x v="0"/>
    <x v="0"/>
    <x v="0"/>
    <x v="87"/>
    <x v="3"/>
    <x v="5"/>
    <x v="86"/>
    <x v="0"/>
    <x v="0"/>
  </r>
  <r>
    <x v="90"/>
    <x v="90"/>
    <x v="90"/>
    <x v="1"/>
    <x v="44"/>
    <x v="1"/>
    <x v="90"/>
    <x v="3"/>
    <x v="0"/>
    <x v="4"/>
    <x v="2"/>
    <x v="4"/>
    <x v="0"/>
    <x v="0"/>
    <x v="0"/>
    <x v="88"/>
    <x v="3"/>
    <x v="6"/>
    <x v="87"/>
    <x v="0"/>
    <x v="0"/>
  </r>
  <r>
    <x v="91"/>
    <x v="91"/>
    <x v="91"/>
    <x v="1"/>
    <x v="55"/>
    <x v="1"/>
    <x v="91"/>
    <x v="3"/>
    <x v="0"/>
    <x v="4"/>
    <x v="3"/>
    <x v="4"/>
    <x v="0"/>
    <x v="0"/>
    <x v="0"/>
    <x v="89"/>
    <x v="3"/>
    <x v="7"/>
    <x v="88"/>
    <x v="0"/>
    <x v="0"/>
  </r>
  <r>
    <x v="92"/>
    <x v="92"/>
    <x v="92"/>
    <x v="1"/>
    <x v="56"/>
    <x v="1"/>
    <x v="92"/>
    <x v="3"/>
    <x v="0"/>
    <x v="4"/>
    <x v="4"/>
    <x v="4"/>
    <x v="0"/>
    <x v="0"/>
    <x v="0"/>
    <x v="90"/>
    <x v="3"/>
    <x v="8"/>
    <x v="89"/>
    <x v="0"/>
    <x v="0"/>
  </r>
  <r>
    <x v="93"/>
    <x v="93"/>
    <x v="93"/>
    <x v="1"/>
    <x v="57"/>
    <x v="1"/>
    <x v="93"/>
    <x v="3"/>
    <x v="0"/>
    <x v="4"/>
    <x v="5"/>
    <x v="4"/>
    <x v="0"/>
    <x v="0"/>
    <x v="0"/>
    <x v="91"/>
    <x v="3"/>
    <x v="9"/>
    <x v="90"/>
    <x v="0"/>
    <x v="0"/>
  </r>
  <r>
    <x v="94"/>
    <x v="94"/>
    <x v="94"/>
    <x v="1"/>
    <x v="58"/>
    <x v="2"/>
    <x v="94"/>
    <x v="3"/>
    <x v="0"/>
    <x v="4"/>
    <x v="6"/>
    <x v="4"/>
    <x v="0"/>
    <x v="0"/>
    <x v="0"/>
    <x v="92"/>
    <x v="3"/>
    <x v="10"/>
    <x v="91"/>
    <x v="0"/>
    <x v="0"/>
  </r>
  <r>
    <x v="95"/>
    <x v="95"/>
    <x v="95"/>
    <x v="1"/>
    <x v="59"/>
    <x v="2"/>
    <x v="95"/>
    <x v="3"/>
    <x v="0"/>
    <x v="4"/>
    <x v="7"/>
    <x v="4"/>
    <x v="0"/>
    <x v="0"/>
    <x v="0"/>
    <x v="93"/>
    <x v="3"/>
    <x v="11"/>
    <x v="92"/>
    <x v="0"/>
    <x v="0"/>
  </r>
  <r>
    <x v="96"/>
    <x v="96"/>
    <x v="96"/>
    <x v="1"/>
    <x v="60"/>
    <x v="2"/>
    <x v="96"/>
    <x v="3"/>
    <x v="0"/>
    <x v="4"/>
    <x v="0"/>
    <x v="4"/>
    <x v="0"/>
    <x v="0"/>
    <x v="0"/>
    <x v="94"/>
    <x v="3"/>
    <x v="12"/>
    <x v="93"/>
    <x v="0"/>
    <x v="0"/>
  </r>
  <r>
    <x v="97"/>
    <x v="97"/>
    <x v="97"/>
    <x v="1"/>
    <x v="61"/>
    <x v="2"/>
    <x v="97"/>
    <x v="3"/>
    <x v="0"/>
    <x v="4"/>
    <x v="1"/>
    <x v="4"/>
    <x v="0"/>
    <x v="0"/>
    <x v="0"/>
    <x v="0"/>
    <x v="3"/>
    <x v="13"/>
    <x v="94"/>
    <x v="0"/>
    <x v="0"/>
  </r>
  <r>
    <x v="98"/>
    <x v="98"/>
    <x v="98"/>
    <x v="1"/>
    <x v="62"/>
    <x v="2"/>
    <x v="98"/>
    <x v="3"/>
    <x v="0"/>
    <x v="4"/>
    <x v="2"/>
    <x v="4"/>
    <x v="0"/>
    <x v="0"/>
    <x v="0"/>
    <x v="95"/>
    <x v="3"/>
    <x v="14"/>
    <x v="95"/>
    <x v="0"/>
    <x v="0"/>
  </r>
  <r>
    <x v="99"/>
    <x v="99"/>
    <x v="99"/>
    <x v="1"/>
    <x v="63"/>
    <x v="2"/>
    <x v="99"/>
    <x v="3"/>
    <x v="0"/>
    <x v="4"/>
    <x v="3"/>
    <x v="4"/>
    <x v="3"/>
    <x v="0"/>
    <x v="0"/>
    <x v="96"/>
    <x v="3"/>
    <x v="15"/>
    <x v="96"/>
    <x v="0"/>
    <x v="0"/>
  </r>
  <r>
    <x v="100"/>
    <x v="100"/>
    <x v="100"/>
    <x v="1"/>
    <x v="3"/>
    <x v="0"/>
    <x v="100"/>
    <x v="3"/>
    <x v="0"/>
    <x v="4"/>
    <x v="4"/>
    <x v="4"/>
    <x v="3"/>
    <x v="0"/>
    <x v="0"/>
    <x v="97"/>
    <x v="3"/>
    <x v="16"/>
    <x v="97"/>
    <x v="0"/>
    <x v="0"/>
  </r>
  <r>
    <x v="101"/>
    <x v="101"/>
    <x v="101"/>
    <x v="1"/>
    <x v="4"/>
    <x v="0"/>
    <x v="101"/>
    <x v="3"/>
    <x v="0"/>
    <x v="4"/>
    <x v="5"/>
    <x v="4"/>
    <x v="3"/>
    <x v="0"/>
    <x v="0"/>
    <x v="98"/>
    <x v="3"/>
    <x v="17"/>
    <x v="98"/>
    <x v="0"/>
    <x v="0"/>
  </r>
  <r>
    <x v="102"/>
    <x v="102"/>
    <x v="102"/>
    <x v="1"/>
    <x v="5"/>
    <x v="1"/>
    <x v="102"/>
    <x v="3"/>
    <x v="0"/>
    <x v="4"/>
    <x v="6"/>
    <x v="4"/>
    <x v="3"/>
    <x v="0"/>
    <x v="0"/>
    <x v="99"/>
    <x v="3"/>
    <x v="18"/>
    <x v="99"/>
    <x v="0"/>
    <x v="0"/>
  </r>
  <r>
    <x v="103"/>
    <x v="103"/>
    <x v="103"/>
    <x v="1"/>
    <x v="6"/>
    <x v="1"/>
    <x v="103"/>
    <x v="3"/>
    <x v="0"/>
    <x v="4"/>
    <x v="7"/>
    <x v="4"/>
    <x v="3"/>
    <x v="0"/>
    <x v="0"/>
    <x v="100"/>
    <x v="3"/>
    <x v="19"/>
    <x v="100"/>
    <x v="0"/>
    <x v="0"/>
  </r>
  <r>
    <x v="104"/>
    <x v="104"/>
    <x v="104"/>
    <x v="1"/>
    <x v="7"/>
    <x v="1"/>
    <x v="104"/>
    <x v="3"/>
    <x v="0"/>
    <x v="4"/>
    <x v="0"/>
    <x v="4"/>
    <x v="3"/>
    <x v="0"/>
    <x v="0"/>
    <x v="101"/>
    <x v="3"/>
    <x v="20"/>
    <x v="101"/>
    <x v="0"/>
    <x v="0"/>
  </r>
  <r>
    <x v="105"/>
    <x v="105"/>
    <x v="105"/>
    <x v="1"/>
    <x v="8"/>
    <x v="2"/>
    <x v="105"/>
    <x v="3"/>
    <x v="0"/>
    <x v="4"/>
    <x v="1"/>
    <x v="4"/>
    <x v="3"/>
    <x v="0"/>
    <x v="0"/>
    <x v="102"/>
    <x v="3"/>
    <x v="21"/>
    <x v="102"/>
    <x v="0"/>
    <x v="0"/>
  </r>
  <r>
    <x v="106"/>
    <x v="106"/>
    <x v="106"/>
    <x v="1"/>
    <x v="9"/>
    <x v="2"/>
    <x v="106"/>
    <x v="3"/>
    <x v="0"/>
    <x v="4"/>
    <x v="2"/>
    <x v="4"/>
    <x v="3"/>
    <x v="0"/>
    <x v="0"/>
    <x v="3"/>
    <x v="3"/>
    <x v="22"/>
    <x v="103"/>
    <x v="0"/>
    <x v="0"/>
  </r>
  <r>
    <x v="107"/>
    <x v="107"/>
    <x v="107"/>
    <x v="1"/>
    <x v="10"/>
    <x v="2"/>
    <x v="107"/>
    <x v="3"/>
    <x v="0"/>
    <x v="4"/>
    <x v="3"/>
    <x v="4"/>
    <x v="3"/>
    <x v="0"/>
    <x v="0"/>
    <x v="103"/>
    <x v="3"/>
    <x v="23"/>
    <x v="104"/>
    <x v="0"/>
    <x v="0"/>
  </r>
  <r>
    <x v="108"/>
    <x v="108"/>
    <x v="108"/>
    <x v="1"/>
    <x v="11"/>
    <x v="2"/>
    <x v="108"/>
    <x v="3"/>
    <x v="0"/>
    <x v="4"/>
    <x v="4"/>
    <x v="4"/>
    <x v="3"/>
    <x v="0"/>
    <x v="0"/>
    <x v="104"/>
    <x v="3"/>
    <x v="24"/>
    <x v="105"/>
    <x v="0"/>
    <x v="0"/>
  </r>
  <r>
    <x v="109"/>
    <x v="109"/>
    <x v="109"/>
    <x v="1"/>
    <x v="12"/>
    <x v="2"/>
    <x v="109"/>
    <x v="3"/>
    <x v="0"/>
    <x v="4"/>
    <x v="5"/>
    <x v="4"/>
    <x v="3"/>
    <x v="0"/>
    <x v="0"/>
    <x v="105"/>
    <x v="3"/>
    <x v="25"/>
    <x v="106"/>
    <x v="0"/>
    <x v="0"/>
  </r>
  <r>
    <x v="110"/>
    <x v="110"/>
    <x v="110"/>
    <x v="1"/>
    <x v="13"/>
    <x v="2"/>
    <x v="110"/>
    <x v="3"/>
    <x v="0"/>
    <x v="3"/>
    <x v="6"/>
    <x v="4"/>
    <x v="3"/>
    <x v="0"/>
    <x v="0"/>
    <x v="17"/>
    <x v="3"/>
    <x v="26"/>
    <x v="107"/>
    <x v="0"/>
    <x v="0"/>
  </r>
  <r>
    <x v="111"/>
    <x v="111"/>
    <x v="111"/>
    <x v="1"/>
    <x v="14"/>
    <x v="2"/>
    <x v="111"/>
    <x v="3"/>
    <x v="0"/>
    <x v="3"/>
    <x v="7"/>
    <x v="4"/>
    <x v="3"/>
    <x v="0"/>
    <x v="0"/>
    <x v="106"/>
    <x v="3"/>
    <x v="27"/>
    <x v="108"/>
    <x v="0"/>
    <x v="0"/>
  </r>
  <r>
    <x v="112"/>
    <x v="112"/>
    <x v="112"/>
    <x v="1"/>
    <x v="42"/>
    <x v="0"/>
    <x v="112"/>
    <x v="3"/>
    <x v="0"/>
    <x v="3"/>
    <x v="0"/>
    <x v="4"/>
    <x v="3"/>
    <x v="0"/>
    <x v="0"/>
    <x v="107"/>
    <x v="3"/>
    <x v="0"/>
    <x v="109"/>
    <x v="0"/>
    <x v="0"/>
  </r>
  <r>
    <x v="113"/>
    <x v="113"/>
    <x v="113"/>
    <x v="1"/>
    <x v="54"/>
    <x v="1"/>
    <x v="113"/>
    <x v="3"/>
    <x v="0"/>
    <x v="3"/>
    <x v="1"/>
    <x v="4"/>
    <x v="3"/>
    <x v="0"/>
    <x v="0"/>
    <x v="108"/>
    <x v="3"/>
    <x v="1"/>
    <x v="110"/>
    <x v="0"/>
    <x v="0"/>
  </r>
  <r>
    <x v="114"/>
    <x v="114"/>
    <x v="114"/>
    <x v="1"/>
    <x v="19"/>
    <x v="1"/>
    <x v="114"/>
    <x v="3"/>
    <x v="0"/>
    <x v="3"/>
    <x v="2"/>
    <x v="4"/>
    <x v="3"/>
    <x v="0"/>
    <x v="0"/>
    <x v="109"/>
    <x v="3"/>
    <x v="2"/>
    <x v="111"/>
    <x v="0"/>
    <x v="0"/>
  </r>
  <r>
    <x v="115"/>
    <x v="115"/>
    <x v="115"/>
    <x v="1"/>
    <x v="20"/>
    <x v="1"/>
    <x v="115"/>
    <x v="3"/>
    <x v="0"/>
    <x v="3"/>
    <x v="3"/>
    <x v="1"/>
    <x v="3"/>
    <x v="0"/>
    <x v="0"/>
    <x v="110"/>
    <x v="3"/>
    <x v="3"/>
    <x v="112"/>
    <x v="0"/>
    <x v="0"/>
  </r>
  <r>
    <x v="116"/>
    <x v="116"/>
    <x v="116"/>
    <x v="1"/>
    <x v="21"/>
    <x v="1"/>
    <x v="116"/>
    <x v="3"/>
    <x v="0"/>
    <x v="3"/>
    <x v="4"/>
    <x v="5"/>
    <x v="3"/>
    <x v="0"/>
    <x v="0"/>
    <x v="111"/>
    <x v="3"/>
    <x v="4"/>
    <x v="113"/>
    <x v="0"/>
    <x v="0"/>
  </r>
  <r>
    <x v="117"/>
    <x v="117"/>
    <x v="117"/>
    <x v="1"/>
    <x v="22"/>
    <x v="2"/>
    <x v="117"/>
    <x v="3"/>
    <x v="0"/>
    <x v="3"/>
    <x v="5"/>
    <x v="5"/>
    <x v="3"/>
    <x v="0"/>
    <x v="0"/>
    <x v="112"/>
    <x v="3"/>
    <x v="5"/>
    <x v="114"/>
    <x v="0"/>
    <x v="0"/>
  </r>
  <r>
    <x v="118"/>
    <x v="118"/>
    <x v="118"/>
    <x v="1"/>
    <x v="23"/>
    <x v="2"/>
    <x v="118"/>
    <x v="4"/>
    <x v="0"/>
    <x v="3"/>
    <x v="6"/>
    <x v="5"/>
    <x v="3"/>
    <x v="0"/>
    <x v="0"/>
    <x v="113"/>
    <x v="3"/>
    <x v="6"/>
    <x v="115"/>
    <x v="0"/>
    <x v="0"/>
  </r>
  <r>
    <x v="119"/>
    <x v="119"/>
    <x v="119"/>
    <x v="1"/>
    <x v="24"/>
    <x v="2"/>
    <x v="119"/>
    <x v="4"/>
    <x v="0"/>
    <x v="3"/>
    <x v="7"/>
    <x v="5"/>
    <x v="3"/>
    <x v="0"/>
    <x v="0"/>
    <x v="114"/>
    <x v="3"/>
    <x v="7"/>
    <x v="116"/>
    <x v="0"/>
    <x v="0"/>
  </r>
  <r>
    <x v="120"/>
    <x v="120"/>
    <x v="120"/>
    <x v="1"/>
    <x v="25"/>
    <x v="2"/>
    <x v="120"/>
    <x v="4"/>
    <x v="0"/>
    <x v="3"/>
    <x v="0"/>
    <x v="5"/>
    <x v="3"/>
    <x v="0"/>
    <x v="0"/>
    <x v="115"/>
    <x v="3"/>
    <x v="8"/>
    <x v="117"/>
    <x v="0"/>
    <x v="0"/>
  </r>
  <r>
    <x v="121"/>
    <x v="121"/>
    <x v="121"/>
    <x v="1"/>
    <x v="26"/>
    <x v="2"/>
    <x v="121"/>
    <x v="4"/>
    <x v="0"/>
    <x v="3"/>
    <x v="1"/>
    <x v="5"/>
    <x v="3"/>
    <x v="0"/>
    <x v="0"/>
    <x v="116"/>
    <x v="3"/>
    <x v="9"/>
    <x v="118"/>
    <x v="0"/>
    <x v="0"/>
  </r>
  <r>
    <x v="122"/>
    <x v="122"/>
    <x v="122"/>
    <x v="1"/>
    <x v="27"/>
    <x v="2"/>
    <x v="122"/>
    <x v="4"/>
    <x v="0"/>
    <x v="3"/>
    <x v="2"/>
    <x v="5"/>
    <x v="3"/>
    <x v="0"/>
    <x v="0"/>
    <x v="117"/>
    <x v="3"/>
    <x v="10"/>
    <x v="119"/>
    <x v="0"/>
    <x v="0"/>
  </r>
  <r>
    <x v="123"/>
    <x v="123"/>
    <x v="123"/>
    <x v="1"/>
    <x v="17"/>
    <x v="0"/>
    <x v="123"/>
    <x v="4"/>
    <x v="0"/>
    <x v="3"/>
    <x v="3"/>
    <x v="5"/>
    <x v="3"/>
    <x v="0"/>
    <x v="0"/>
    <x v="118"/>
    <x v="3"/>
    <x v="11"/>
    <x v="120"/>
    <x v="0"/>
    <x v="0"/>
  </r>
  <r>
    <x v="124"/>
    <x v="124"/>
    <x v="124"/>
    <x v="1"/>
    <x v="18"/>
    <x v="1"/>
    <x v="124"/>
    <x v="4"/>
    <x v="0"/>
    <x v="3"/>
    <x v="4"/>
    <x v="5"/>
    <x v="3"/>
    <x v="0"/>
    <x v="0"/>
    <x v="119"/>
    <x v="3"/>
    <x v="12"/>
    <x v="121"/>
    <x v="0"/>
    <x v="0"/>
  </r>
  <r>
    <x v="125"/>
    <x v="125"/>
    <x v="125"/>
    <x v="1"/>
    <x v="32"/>
    <x v="1"/>
    <x v="125"/>
    <x v="4"/>
    <x v="0"/>
    <x v="3"/>
    <x v="5"/>
    <x v="5"/>
    <x v="3"/>
    <x v="0"/>
    <x v="0"/>
    <x v="120"/>
    <x v="3"/>
    <x v="13"/>
    <x v="122"/>
    <x v="0"/>
    <x v="0"/>
  </r>
  <r>
    <x v="126"/>
    <x v="126"/>
    <x v="126"/>
    <x v="1"/>
    <x v="33"/>
    <x v="1"/>
    <x v="126"/>
    <x v="4"/>
    <x v="0"/>
    <x v="3"/>
    <x v="6"/>
    <x v="5"/>
    <x v="3"/>
    <x v="0"/>
    <x v="0"/>
    <x v="121"/>
    <x v="3"/>
    <x v="14"/>
    <x v="123"/>
    <x v="0"/>
    <x v="0"/>
  </r>
  <r>
    <x v="127"/>
    <x v="127"/>
    <x v="127"/>
    <x v="1"/>
    <x v="34"/>
    <x v="1"/>
    <x v="127"/>
    <x v="4"/>
    <x v="0"/>
    <x v="3"/>
    <x v="7"/>
    <x v="5"/>
    <x v="3"/>
    <x v="0"/>
    <x v="0"/>
    <x v="122"/>
    <x v="3"/>
    <x v="15"/>
    <x v="124"/>
    <x v="0"/>
    <x v="0"/>
  </r>
  <r>
    <x v="128"/>
    <x v="128"/>
    <x v="128"/>
    <x v="1"/>
    <x v="35"/>
    <x v="2"/>
    <x v="128"/>
    <x v="4"/>
    <x v="0"/>
    <x v="3"/>
    <x v="0"/>
    <x v="5"/>
    <x v="3"/>
    <x v="0"/>
    <x v="0"/>
    <x v="123"/>
    <x v="3"/>
    <x v="16"/>
    <x v="125"/>
    <x v="0"/>
    <x v="0"/>
  </r>
  <r>
    <x v="129"/>
    <x v="129"/>
    <x v="129"/>
    <x v="1"/>
    <x v="36"/>
    <x v="2"/>
    <x v="129"/>
    <x v="4"/>
    <x v="0"/>
    <x v="3"/>
    <x v="1"/>
    <x v="5"/>
    <x v="3"/>
    <x v="0"/>
    <x v="0"/>
    <x v="124"/>
    <x v="3"/>
    <x v="17"/>
    <x v="126"/>
    <x v="0"/>
    <x v="0"/>
  </r>
  <r>
    <x v="130"/>
    <x v="130"/>
    <x v="130"/>
    <x v="1"/>
    <x v="37"/>
    <x v="2"/>
    <x v="130"/>
    <x v="4"/>
    <x v="0"/>
    <x v="3"/>
    <x v="2"/>
    <x v="5"/>
    <x v="3"/>
    <x v="0"/>
    <x v="0"/>
    <x v="125"/>
    <x v="3"/>
    <x v="18"/>
    <x v="127"/>
    <x v="0"/>
    <x v="0"/>
  </r>
  <r>
    <x v="131"/>
    <x v="131"/>
    <x v="131"/>
    <x v="1"/>
    <x v="38"/>
    <x v="2"/>
    <x v="131"/>
    <x v="4"/>
    <x v="0"/>
    <x v="3"/>
    <x v="3"/>
    <x v="5"/>
    <x v="3"/>
    <x v="0"/>
    <x v="0"/>
    <x v="126"/>
    <x v="3"/>
    <x v="19"/>
    <x v="128"/>
    <x v="0"/>
    <x v="0"/>
  </r>
  <r>
    <x v="132"/>
    <x v="132"/>
    <x v="132"/>
    <x v="1"/>
    <x v="39"/>
    <x v="2"/>
    <x v="132"/>
    <x v="4"/>
    <x v="0"/>
    <x v="3"/>
    <x v="4"/>
    <x v="5"/>
    <x v="3"/>
    <x v="0"/>
    <x v="0"/>
    <x v="127"/>
    <x v="3"/>
    <x v="20"/>
    <x v="129"/>
    <x v="0"/>
    <x v="0"/>
  </r>
  <r>
    <x v="133"/>
    <x v="133"/>
    <x v="133"/>
    <x v="1"/>
    <x v="40"/>
    <x v="2"/>
    <x v="133"/>
    <x v="4"/>
    <x v="0"/>
    <x v="3"/>
    <x v="5"/>
    <x v="5"/>
    <x v="3"/>
    <x v="0"/>
    <x v="0"/>
    <x v="128"/>
    <x v="3"/>
    <x v="21"/>
    <x v="130"/>
    <x v="0"/>
    <x v="0"/>
  </r>
  <r>
    <x v="134"/>
    <x v="134"/>
    <x v="134"/>
    <x v="1"/>
    <x v="30"/>
    <x v="0"/>
    <x v="134"/>
    <x v="4"/>
    <x v="0"/>
    <x v="3"/>
    <x v="6"/>
    <x v="5"/>
    <x v="3"/>
    <x v="0"/>
    <x v="0"/>
    <x v="129"/>
    <x v="3"/>
    <x v="22"/>
    <x v="131"/>
    <x v="0"/>
    <x v="0"/>
  </r>
  <r>
    <x v="135"/>
    <x v="135"/>
    <x v="135"/>
    <x v="1"/>
    <x v="31"/>
    <x v="1"/>
    <x v="135"/>
    <x v="4"/>
    <x v="0"/>
    <x v="3"/>
    <x v="7"/>
    <x v="5"/>
    <x v="3"/>
    <x v="0"/>
    <x v="0"/>
    <x v="130"/>
    <x v="3"/>
    <x v="23"/>
    <x v="132"/>
    <x v="0"/>
    <x v="0"/>
  </r>
  <r>
    <x v="136"/>
    <x v="136"/>
    <x v="136"/>
    <x v="2"/>
    <x v="64"/>
    <x v="3"/>
    <x v="136"/>
    <x v="5"/>
    <x v="3"/>
    <x v="6"/>
    <x v="8"/>
    <x v="6"/>
    <x v="4"/>
    <x v="1"/>
    <x v="1"/>
    <x v="131"/>
    <x v="8"/>
    <x v="28"/>
    <x v="133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6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0"/>
    <x v="1"/>
    <x v="0"/>
    <x v="0"/>
    <x v="1"/>
    <x v="1"/>
    <x v="1"/>
    <x v="1"/>
    <x v="0"/>
    <x v="0"/>
    <x v="1"/>
    <x v="1"/>
    <x v="1"/>
    <x v="1"/>
    <x v="0"/>
    <x v="0"/>
  </r>
  <r>
    <x v="2"/>
    <x v="2"/>
    <x v="2"/>
    <x v="0"/>
    <x v="2"/>
    <x v="0"/>
    <x v="2"/>
    <x v="0"/>
    <x v="0"/>
    <x v="0"/>
    <x v="2"/>
    <x v="2"/>
    <x v="1"/>
    <x v="0"/>
    <x v="0"/>
    <x v="2"/>
    <x v="2"/>
    <x v="2"/>
    <x v="2"/>
    <x v="0"/>
    <x v="0"/>
  </r>
  <r>
    <x v="3"/>
    <x v="3"/>
    <x v="3"/>
    <x v="0"/>
    <x v="3"/>
    <x v="0"/>
    <x v="3"/>
    <x v="0"/>
    <x v="0"/>
    <x v="2"/>
    <x v="3"/>
    <x v="3"/>
    <x v="1"/>
    <x v="0"/>
    <x v="0"/>
    <x v="3"/>
    <x v="3"/>
    <x v="3"/>
    <x v="3"/>
    <x v="0"/>
    <x v="0"/>
  </r>
  <r>
    <x v="4"/>
    <x v="4"/>
    <x v="4"/>
    <x v="0"/>
    <x v="4"/>
    <x v="0"/>
    <x v="4"/>
    <x v="0"/>
    <x v="0"/>
    <x v="2"/>
    <x v="4"/>
    <x v="4"/>
    <x v="1"/>
    <x v="0"/>
    <x v="0"/>
    <x v="4"/>
    <x v="4"/>
    <x v="4"/>
    <x v="1"/>
    <x v="0"/>
    <x v="0"/>
  </r>
  <r>
    <x v="5"/>
    <x v="5"/>
    <x v="5"/>
    <x v="1"/>
    <x v="5"/>
    <x v="1"/>
    <x v="5"/>
    <x v="0"/>
    <x v="0"/>
    <x v="2"/>
    <x v="5"/>
    <x v="5"/>
    <x v="1"/>
    <x v="0"/>
    <x v="0"/>
    <x v="5"/>
    <x v="5"/>
    <x v="5"/>
    <x v="4"/>
    <x v="0"/>
    <x v="0"/>
  </r>
  <r>
    <x v="6"/>
    <x v="6"/>
    <x v="6"/>
    <x v="0"/>
    <x v="6"/>
    <x v="1"/>
    <x v="6"/>
    <x v="0"/>
    <x v="0"/>
    <x v="2"/>
    <x v="6"/>
    <x v="0"/>
    <x v="2"/>
    <x v="0"/>
    <x v="0"/>
    <x v="6"/>
    <x v="6"/>
    <x v="6"/>
    <x v="5"/>
    <x v="0"/>
    <x v="0"/>
  </r>
  <r>
    <x v="7"/>
    <x v="7"/>
    <x v="7"/>
    <x v="0"/>
    <x v="7"/>
    <x v="1"/>
    <x v="7"/>
    <x v="0"/>
    <x v="0"/>
    <x v="2"/>
    <x v="7"/>
    <x v="0"/>
    <x v="0"/>
    <x v="0"/>
    <x v="0"/>
    <x v="7"/>
    <x v="7"/>
    <x v="7"/>
    <x v="6"/>
    <x v="0"/>
    <x v="0"/>
  </r>
  <r>
    <x v="8"/>
    <x v="8"/>
    <x v="8"/>
    <x v="0"/>
    <x v="8"/>
    <x v="2"/>
    <x v="8"/>
    <x v="0"/>
    <x v="0"/>
    <x v="2"/>
    <x v="0"/>
    <x v="4"/>
    <x v="0"/>
    <x v="0"/>
    <x v="0"/>
    <x v="8"/>
    <x v="7"/>
    <x v="8"/>
    <x v="7"/>
    <x v="0"/>
    <x v="0"/>
  </r>
  <r>
    <x v="9"/>
    <x v="9"/>
    <x v="9"/>
    <x v="0"/>
    <x v="9"/>
    <x v="2"/>
    <x v="9"/>
    <x v="0"/>
    <x v="0"/>
    <x v="2"/>
    <x v="1"/>
    <x v="1"/>
    <x v="0"/>
    <x v="0"/>
    <x v="0"/>
    <x v="9"/>
    <x v="7"/>
    <x v="9"/>
    <x v="8"/>
    <x v="0"/>
    <x v="0"/>
  </r>
  <r>
    <x v="10"/>
    <x v="10"/>
    <x v="10"/>
    <x v="0"/>
    <x v="10"/>
    <x v="2"/>
    <x v="10"/>
    <x v="0"/>
    <x v="0"/>
    <x v="2"/>
    <x v="2"/>
    <x v="2"/>
    <x v="0"/>
    <x v="0"/>
    <x v="0"/>
    <x v="10"/>
    <x v="7"/>
    <x v="10"/>
    <x v="9"/>
    <x v="0"/>
    <x v="0"/>
  </r>
  <r>
    <x v="11"/>
    <x v="11"/>
    <x v="11"/>
    <x v="0"/>
    <x v="11"/>
    <x v="2"/>
    <x v="11"/>
    <x v="0"/>
    <x v="0"/>
    <x v="2"/>
    <x v="3"/>
    <x v="4"/>
    <x v="0"/>
    <x v="0"/>
    <x v="0"/>
    <x v="11"/>
    <x v="7"/>
    <x v="11"/>
    <x v="10"/>
    <x v="0"/>
    <x v="0"/>
  </r>
  <r>
    <x v="12"/>
    <x v="12"/>
    <x v="12"/>
    <x v="0"/>
    <x v="12"/>
    <x v="2"/>
    <x v="12"/>
    <x v="0"/>
    <x v="0"/>
    <x v="3"/>
    <x v="4"/>
    <x v="1"/>
    <x v="0"/>
    <x v="0"/>
    <x v="0"/>
    <x v="12"/>
    <x v="7"/>
    <x v="12"/>
    <x v="11"/>
    <x v="0"/>
    <x v="0"/>
  </r>
  <r>
    <x v="13"/>
    <x v="13"/>
    <x v="13"/>
    <x v="0"/>
    <x v="13"/>
    <x v="2"/>
    <x v="13"/>
    <x v="0"/>
    <x v="0"/>
    <x v="3"/>
    <x v="5"/>
    <x v="4"/>
    <x v="0"/>
    <x v="0"/>
    <x v="0"/>
    <x v="13"/>
    <x v="7"/>
    <x v="13"/>
    <x v="12"/>
    <x v="0"/>
    <x v="0"/>
  </r>
  <r>
    <x v="14"/>
    <x v="14"/>
    <x v="14"/>
    <x v="0"/>
    <x v="14"/>
    <x v="2"/>
    <x v="14"/>
    <x v="0"/>
    <x v="1"/>
    <x v="3"/>
    <x v="6"/>
    <x v="4"/>
    <x v="3"/>
    <x v="0"/>
    <x v="0"/>
    <x v="14"/>
    <x v="7"/>
    <x v="14"/>
    <x v="13"/>
    <x v="0"/>
    <x v="0"/>
  </r>
  <r>
    <x v="15"/>
    <x v="15"/>
    <x v="15"/>
    <x v="1"/>
    <x v="15"/>
    <x v="0"/>
    <x v="15"/>
    <x v="0"/>
    <x v="1"/>
    <x v="3"/>
    <x v="7"/>
    <x v="4"/>
    <x v="3"/>
    <x v="0"/>
    <x v="0"/>
    <x v="15"/>
    <x v="7"/>
    <x v="15"/>
    <x v="14"/>
    <x v="0"/>
    <x v="0"/>
  </r>
  <r>
    <x v="16"/>
    <x v="16"/>
    <x v="16"/>
    <x v="1"/>
    <x v="16"/>
    <x v="0"/>
    <x v="16"/>
    <x v="0"/>
    <x v="1"/>
    <x v="3"/>
    <x v="0"/>
    <x v="4"/>
    <x v="3"/>
    <x v="0"/>
    <x v="0"/>
    <x v="16"/>
    <x v="7"/>
    <x v="16"/>
    <x v="15"/>
    <x v="0"/>
    <x v="0"/>
  </r>
  <r>
    <x v="17"/>
    <x v="17"/>
    <x v="17"/>
    <x v="1"/>
    <x v="17"/>
    <x v="0"/>
    <x v="17"/>
    <x v="0"/>
    <x v="1"/>
    <x v="3"/>
    <x v="1"/>
    <x v="4"/>
    <x v="3"/>
    <x v="0"/>
    <x v="0"/>
    <x v="17"/>
    <x v="7"/>
    <x v="17"/>
    <x v="16"/>
    <x v="0"/>
    <x v="0"/>
  </r>
  <r>
    <x v="18"/>
    <x v="18"/>
    <x v="18"/>
    <x v="1"/>
    <x v="18"/>
    <x v="1"/>
    <x v="18"/>
    <x v="0"/>
    <x v="1"/>
    <x v="3"/>
    <x v="2"/>
    <x v="4"/>
    <x v="3"/>
    <x v="0"/>
    <x v="0"/>
    <x v="18"/>
    <x v="7"/>
    <x v="18"/>
    <x v="17"/>
    <x v="0"/>
    <x v="0"/>
  </r>
  <r>
    <x v="19"/>
    <x v="19"/>
    <x v="19"/>
    <x v="1"/>
    <x v="19"/>
    <x v="1"/>
    <x v="19"/>
    <x v="0"/>
    <x v="1"/>
    <x v="3"/>
    <x v="3"/>
    <x v="4"/>
    <x v="3"/>
    <x v="0"/>
    <x v="0"/>
    <x v="19"/>
    <x v="7"/>
    <x v="19"/>
    <x v="18"/>
    <x v="0"/>
    <x v="0"/>
  </r>
  <r>
    <x v="20"/>
    <x v="20"/>
    <x v="20"/>
    <x v="1"/>
    <x v="20"/>
    <x v="1"/>
    <x v="20"/>
    <x v="0"/>
    <x v="1"/>
    <x v="3"/>
    <x v="4"/>
    <x v="4"/>
    <x v="3"/>
    <x v="0"/>
    <x v="0"/>
    <x v="20"/>
    <x v="7"/>
    <x v="20"/>
    <x v="19"/>
    <x v="0"/>
    <x v="0"/>
  </r>
  <r>
    <x v="21"/>
    <x v="21"/>
    <x v="21"/>
    <x v="1"/>
    <x v="21"/>
    <x v="1"/>
    <x v="21"/>
    <x v="0"/>
    <x v="1"/>
    <x v="3"/>
    <x v="5"/>
    <x v="4"/>
    <x v="3"/>
    <x v="0"/>
    <x v="0"/>
    <x v="21"/>
    <x v="7"/>
    <x v="21"/>
    <x v="20"/>
    <x v="0"/>
    <x v="0"/>
  </r>
  <r>
    <x v="22"/>
    <x v="22"/>
    <x v="22"/>
    <x v="1"/>
    <x v="22"/>
    <x v="2"/>
    <x v="22"/>
    <x v="0"/>
    <x v="1"/>
    <x v="3"/>
    <x v="6"/>
    <x v="4"/>
    <x v="3"/>
    <x v="0"/>
    <x v="0"/>
    <x v="22"/>
    <x v="7"/>
    <x v="22"/>
    <x v="21"/>
    <x v="0"/>
    <x v="0"/>
  </r>
  <r>
    <x v="23"/>
    <x v="23"/>
    <x v="23"/>
    <x v="1"/>
    <x v="23"/>
    <x v="2"/>
    <x v="23"/>
    <x v="0"/>
    <x v="1"/>
    <x v="0"/>
    <x v="7"/>
    <x v="4"/>
    <x v="3"/>
    <x v="0"/>
    <x v="0"/>
    <x v="23"/>
    <x v="7"/>
    <x v="23"/>
    <x v="22"/>
    <x v="0"/>
    <x v="0"/>
  </r>
  <r>
    <x v="24"/>
    <x v="24"/>
    <x v="24"/>
    <x v="1"/>
    <x v="24"/>
    <x v="2"/>
    <x v="24"/>
    <x v="0"/>
    <x v="1"/>
    <x v="2"/>
    <x v="0"/>
    <x v="4"/>
    <x v="3"/>
    <x v="0"/>
    <x v="0"/>
    <x v="24"/>
    <x v="7"/>
    <x v="24"/>
    <x v="23"/>
    <x v="0"/>
    <x v="0"/>
  </r>
  <r>
    <x v="25"/>
    <x v="25"/>
    <x v="25"/>
    <x v="1"/>
    <x v="25"/>
    <x v="2"/>
    <x v="25"/>
    <x v="0"/>
    <x v="1"/>
    <x v="1"/>
    <x v="1"/>
    <x v="4"/>
    <x v="1"/>
    <x v="0"/>
    <x v="0"/>
    <x v="25"/>
    <x v="7"/>
    <x v="25"/>
    <x v="24"/>
    <x v="0"/>
    <x v="0"/>
  </r>
  <r>
    <x v="26"/>
    <x v="26"/>
    <x v="26"/>
    <x v="1"/>
    <x v="26"/>
    <x v="2"/>
    <x v="26"/>
    <x v="0"/>
    <x v="1"/>
    <x v="1"/>
    <x v="2"/>
    <x v="4"/>
    <x v="1"/>
    <x v="0"/>
    <x v="0"/>
    <x v="26"/>
    <x v="7"/>
    <x v="26"/>
    <x v="4"/>
    <x v="0"/>
    <x v="0"/>
  </r>
  <r>
    <x v="27"/>
    <x v="27"/>
    <x v="27"/>
    <x v="1"/>
    <x v="27"/>
    <x v="2"/>
    <x v="27"/>
    <x v="0"/>
    <x v="1"/>
    <x v="1"/>
    <x v="3"/>
    <x v="0"/>
    <x v="1"/>
    <x v="0"/>
    <x v="0"/>
    <x v="27"/>
    <x v="7"/>
    <x v="27"/>
    <x v="25"/>
    <x v="0"/>
    <x v="0"/>
  </r>
  <r>
    <x v="28"/>
    <x v="28"/>
    <x v="28"/>
    <x v="1"/>
    <x v="28"/>
    <x v="0"/>
    <x v="28"/>
    <x v="1"/>
    <x v="1"/>
    <x v="1"/>
    <x v="4"/>
    <x v="1"/>
    <x v="1"/>
    <x v="0"/>
    <x v="0"/>
    <x v="28"/>
    <x v="7"/>
    <x v="0"/>
    <x v="26"/>
    <x v="0"/>
    <x v="0"/>
  </r>
  <r>
    <x v="29"/>
    <x v="29"/>
    <x v="29"/>
    <x v="1"/>
    <x v="29"/>
    <x v="0"/>
    <x v="29"/>
    <x v="1"/>
    <x v="1"/>
    <x v="1"/>
    <x v="5"/>
    <x v="4"/>
    <x v="1"/>
    <x v="0"/>
    <x v="0"/>
    <x v="29"/>
    <x v="7"/>
    <x v="1"/>
    <x v="27"/>
    <x v="0"/>
    <x v="0"/>
  </r>
  <r>
    <x v="30"/>
    <x v="30"/>
    <x v="30"/>
    <x v="1"/>
    <x v="30"/>
    <x v="0"/>
    <x v="30"/>
    <x v="1"/>
    <x v="1"/>
    <x v="1"/>
    <x v="6"/>
    <x v="2"/>
    <x v="1"/>
    <x v="0"/>
    <x v="0"/>
    <x v="30"/>
    <x v="7"/>
    <x v="2"/>
    <x v="28"/>
    <x v="0"/>
    <x v="0"/>
  </r>
  <r>
    <x v="31"/>
    <x v="31"/>
    <x v="31"/>
    <x v="1"/>
    <x v="31"/>
    <x v="1"/>
    <x v="31"/>
    <x v="1"/>
    <x v="2"/>
    <x v="1"/>
    <x v="7"/>
    <x v="5"/>
    <x v="1"/>
    <x v="0"/>
    <x v="0"/>
    <x v="31"/>
    <x v="7"/>
    <x v="3"/>
    <x v="29"/>
    <x v="0"/>
    <x v="0"/>
  </r>
  <r>
    <x v="32"/>
    <x v="32"/>
    <x v="32"/>
    <x v="1"/>
    <x v="32"/>
    <x v="1"/>
    <x v="32"/>
    <x v="1"/>
    <x v="2"/>
    <x v="1"/>
    <x v="0"/>
    <x v="1"/>
    <x v="1"/>
    <x v="0"/>
    <x v="0"/>
    <x v="32"/>
    <x v="7"/>
    <x v="4"/>
    <x v="30"/>
    <x v="0"/>
    <x v="0"/>
  </r>
  <r>
    <x v="33"/>
    <x v="33"/>
    <x v="33"/>
    <x v="1"/>
    <x v="33"/>
    <x v="1"/>
    <x v="33"/>
    <x v="1"/>
    <x v="2"/>
    <x v="1"/>
    <x v="1"/>
    <x v="4"/>
    <x v="1"/>
    <x v="0"/>
    <x v="0"/>
    <x v="33"/>
    <x v="7"/>
    <x v="5"/>
    <x v="31"/>
    <x v="0"/>
    <x v="0"/>
  </r>
  <r>
    <x v="34"/>
    <x v="34"/>
    <x v="34"/>
    <x v="1"/>
    <x v="34"/>
    <x v="1"/>
    <x v="34"/>
    <x v="1"/>
    <x v="2"/>
    <x v="1"/>
    <x v="2"/>
    <x v="2"/>
    <x v="1"/>
    <x v="0"/>
    <x v="0"/>
    <x v="34"/>
    <x v="7"/>
    <x v="6"/>
    <x v="32"/>
    <x v="0"/>
    <x v="0"/>
  </r>
  <r>
    <x v="35"/>
    <x v="35"/>
    <x v="35"/>
    <x v="1"/>
    <x v="35"/>
    <x v="2"/>
    <x v="35"/>
    <x v="1"/>
    <x v="2"/>
    <x v="1"/>
    <x v="3"/>
    <x v="4"/>
    <x v="1"/>
    <x v="0"/>
    <x v="0"/>
    <x v="35"/>
    <x v="7"/>
    <x v="7"/>
    <x v="33"/>
    <x v="0"/>
    <x v="0"/>
  </r>
  <r>
    <x v="36"/>
    <x v="36"/>
    <x v="36"/>
    <x v="1"/>
    <x v="36"/>
    <x v="2"/>
    <x v="36"/>
    <x v="1"/>
    <x v="2"/>
    <x v="0"/>
    <x v="4"/>
    <x v="1"/>
    <x v="0"/>
    <x v="0"/>
    <x v="0"/>
    <x v="36"/>
    <x v="7"/>
    <x v="8"/>
    <x v="34"/>
    <x v="0"/>
    <x v="0"/>
  </r>
  <r>
    <x v="37"/>
    <x v="37"/>
    <x v="37"/>
    <x v="1"/>
    <x v="37"/>
    <x v="2"/>
    <x v="37"/>
    <x v="1"/>
    <x v="2"/>
    <x v="0"/>
    <x v="5"/>
    <x v="1"/>
    <x v="0"/>
    <x v="0"/>
    <x v="0"/>
    <x v="37"/>
    <x v="7"/>
    <x v="9"/>
    <x v="35"/>
    <x v="0"/>
    <x v="0"/>
  </r>
  <r>
    <x v="38"/>
    <x v="38"/>
    <x v="38"/>
    <x v="1"/>
    <x v="38"/>
    <x v="2"/>
    <x v="38"/>
    <x v="1"/>
    <x v="2"/>
    <x v="0"/>
    <x v="6"/>
    <x v="1"/>
    <x v="0"/>
    <x v="0"/>
    <x v="0"/>
    <x v="38"/>
    <x v="6"/>
    <x v="10"/>
    <x v="36"/>
    <x v="0"/>
    <x v="0"/>
  </r>
  <r>
    <x v="39"/>
    <x v="39"/>
    <x v="39"/>
    <x v="1"/>
    <x v="39"/>
    <x v="2"/>
    <x v="39"/>
    <x v="1"/>
    <x v="2"/>
    <x v="0"/>
    <x v="7"/>
    <x v="1"/>
    <x v="0"/>
    <x v="0"/>
    <x v="0"/>
    <x v="39"/>
    <x v="6"/>
    <x v="11"/>
    <x v="37"/>
    <x v="0"/>
    <x v="0"/>
  </r>
  <r>
    <x v="40"/>
    <x v="40"/>
    <x v="40"/>
    <x v="1"/>
    <x v="40"/>
    <x v="2"/>
    <x v="40"/>
    <x v="1"/>
    <x v="2"/>
    <x v="0"/>
    <x v="0"/>
    <x v="1"/>
    <x v="0"/>
    <x v="0"/>
    <x v="0"/>
    <x v="40"/>
    <x v="6"/>
    <x v="12"/>
    <x v="38"/>
    <x v="0"/>
    <x v="0"/>
  </r>
  <r>
    <x v="41"/>
    <x v="41"/>
    <x v="41"/>
    <x v="1"/>
    <x v="41"/>
    <x v="0"/>
    <x v="41"/>
    <x v="1"/>
    <x v="2"/>
    <x v="0"/>
    <x v="1"/>
    <x v="1"/>
    <x v="0"/>
    <x v="0"/>
    <x v="0"/>
    <x v="41"/>
    <x v="6"/>
    <x v="13"/>
    <x v="39"/>
    <x v="0"/>
    <x v="0"/>
  </r>
  <r>
    <x v="42"/>
    <x v="42"/>
    <x v="42"/>
    <x v="1"/>
    <x v="42"/>
    <x v="0"/>
    <x v="42"/>
    <x v="1"/>
    <x v="2"/>
    <x v="0"/>
    <x v="2"/>
    <x v="1"/>
    <x v="0"/>
    <x v="0"/>
    <x v="0"/>
    <x v="42"/>
    <x v="6"/>
    <x v="14"/>
    <x v="40"/>
    <x v="0"/>
    <x v="0"/>
  </r>
  <r>
    <x v="43"/>
    <x v="43"/>
    <x v="43"/>
    <x v="1"/>
    <x v="43"/>
    <x v="0"/>
    <x v="43"/>
    <x v="1"/>
    <x v="2"/>
    <x v="0"/>
    <x v="3"/>
    <x v="1"/>
    <x v="0"/>
    <x v="0"/>
    <x v="0"/>
    <x v="43"/>
    <x v="6"/>
    <x v="15"/>
    <x v="41"/>
    <x v="0"/>
    <x v="0"/>
  </r>
  <r>
    <x v="44"/>
    <x v="44"/>
    <x v="44"/>
    <x v="1"/>
    <x v="44"/>
    <x v="1"/>
    <x v="44"/>
    <x v="1"/>
    <x v="2"/>
    <x v="0"/>
    <x v="4"/>
    <x v="1"/>
    <x v="0"/>
    <x v="0"/>
    <x v="0"/>
    <x v="44"/>
    <x v="6"/>
    <x v="16"/>
    <x v="42"/>
    <x v="0"/>
    <x v="0"/>
  </r>
  <r>
    <x v="45"/>
    <x v="45"/>
    <x v="45"/>
    <x v="1"/>
    <x v="45"/>
    <x v="1"/>
    <x v="45"/>
    <x v="1"/>
    <x v="2"/>
    <x v="0"/>
    <x v="5"/>
    <x v="1"/>
    <x v="0"/>
    <x v="0"/>
    <x v="0"/>
    <x v="45"/>
    <x v="6"/>
    <x v="17"/>
    <x v="43"/>
    <x v="0"/>
    <x v="0"/>
  </r>
  <r>
    <x v="46"/>
    <x v="46"/>
    <x v="46"/>
    <x v="1"/>
    <x v="46"/>
    <x v="1"/>
    <x v="46"/>
    <x v="1"/>
    <x v="2"/>
    <x v="0"/>
    <x v="6"/>
    <x v="1"/>
    <x v="0"/>
    <x v="0"/>
    <x v="0"/>
    <x v="46"/>
    <x v="6"/>
    <x v="18"/>
    <x v="44"/>
    <x v="0"/>
    <x v="0"/>
  </r>
  <r>
    <x v="47"/>
    <x v="47"/>
    <x v="47"/>
    <x v="1"/>
    <x v="47"/>
    <x v="1"/>
    <x v="47"/>
    <x v="1"/>
    <x v="2"/>
    <x v="0"/>
    <x v="7"/>
    <x v="1"/>
    <x v="0"/>
    <x v="0"/>
    <x v="0"/>
    <x v="47"/>
    <x v="6"/>
    <x v="19"/>
    <x v="45"/>
    <x v="0"/>
    <x v="0"/>
  </r>
  <r>
    <x v="48"/>
    <x v="48"/>
    <x v="48"/>
    <x v="1"/>
    <x v="48"/>
    <x v="2"/>
    <x v="48"/>
    <x v="1"/>
    <x v="2"/>
    <x v="0"/>
    <x v="0"/>
    <x v="1"/>
    <x v="0"/>
    <x v="0"/>
    <x v="0"/>
    <x v="48"/>
    <x v="6"/>
    <x v="20"/>
    <x v="46"/>
    <x v="0"/>
    <x v="0"/>
  </r>
  <r>
    <x v="49"/>
    <x v="49"/>
    <x v="49"/>
    <x v="1"/>
    <x v="49"/>
    <x v="2"/>
    <x v="49"/>
    <x v="1"/>
    <x v="2"/>
    <x v="0"/>
    <x v="1"/>
    <x v="1"/>
    <x v="0"/>
    <x v="0"/>
    <x v="0"/>
    <x v="49"/>
    <x v="6"/>
    <x v="21"/>
    <x v="47"/>
    <x v="0"/>
    <x v="0"/>
  </r>
  <r>
    <x v="50"/>
    <x v="50"/>
    <x v="50"/>
    <x v="1"/>
    <x v="50"/>
    <x v="2"/>
    <x v="50"/>
    <x v="1"/>
    <x v="2"/>
    <x v="0"/>
    <x v="2"/>
    <x v="1"/>
    <x v="0"/>
    <x v="0"/>
    <x v="0"/>
    <x v="50"/>
    <x v="6"/>
    <x v="22"/>
    <x v="48"/>
    <x v="0"/>
    <x v="0"/>
  </r>
  <r>
    <x v="51"/>
    <x v="51"/>
    <x v="51"/>
    <x v="1"/>
    <x v="51"/>
    <x v="2"/>
    <x v="51"/>
    <x v="1"/>
    <x v="2"/>
    <x v="0"/>
    <x v="3"/>
    <x v="1"/>
    <x v="0"/>
    <x v="0"/>
    <x v="0"/>
    <x v="51"/>
    <x v="6"/>
    <x v="23"/>
    <x v="5"/>
    <x v="0"/>
    <x v="0"/>
  </r>
  <r>
    <x v="52"/>
    <x v="52"/>
    <x v="52"/>
    <x v="1"/>
    <x v="52"/>
    <x v="2"/>
    <x v="52"/>
    <x v="1"/>
    <x v="2"/>
    <x v="0"/>
    <x v="4"/>
    <x v="1"/>
    <x v="0"/>
    <x v="0"/>
    <x v="0"/>
    <x v="52"/>
    <x v="6"/>
    <x v="24"/>
    <x v="49"/>
    <x v="0"/>
    <x v="0"/>
  </r>
  <r>
    <x v="53"/>
    <x v="53"/>
    <x v="53"/>
    <x v="1"/>
    <x v="53"/>
    <x v="2"/>
    <x v="53"/>
    <x v="1"/>
    <x v="2"/>
    <x v="0"/>
    <x v="5"/>
    <x v="1"/>
    <x v="0"/>
    <x v="0"/>
    <x v="0"/>
    <x v="53"/>
    <x v="6"/>
    <x v="25"/>
    <x v="50"/>
    <x v="0"/>
    <x v="0"/>
  </r>
  <r>
    <x v="54"/>
    <x v="54"/>
    <x v="54"/>
    <x v="1"/>
    <x v="54"/>
    <x v="1"/>
    <x v="54"/>
    <x v="1"/>
    <x v="2"/>
    <x v="0"/>
    <x v="6"/>
    <x v="1"/>
    <x v="0"/>
    <x v="0"/>
    <x v="0"/>
    <x v="54"/>
    <x v="6"/>
    <x v="26"/>
    <x v="51"/>
    <x v="0"/>
    <x v="0"/>
  </r>
  <r>
    <x v="55"/>
    <x v="55"/>
    <x v="55"/>
    <x v="1"/>
    <x v="19"/>
    <x v="1"/>
    <x v="55"/>
    <x v="1"/>
    <x v="2"/>
    <x v="0"/>
    <x v="7"/>
    <x v="4"/>
    <x v="0"/>
    <x v="0"/>
    <x v="0"/>
    <x v="55"/>
    <x v="6"/>
    <x v="27"/>
    <x v="52"/>
    <x v="0"/>
    <x v="0"/>
  </r>
  <r>
    <x v="56"/>
    <x v="56"/>
    <x v="56"/>
    <x v="1"/>
    <x v="20"/>
    <x v="1"/>
    <x v="56"/>
    <x v="1"/>
    <x v="2"/>
    <x v="0"/>
    <x v="0"/>
    <x v="0"/>
    <x v="0"/>
    <x v="0"/>
    <x v="0"/>
    <x v="56"/>
    <x v="6"/>
    <x v="0"/>
    <x v="53"/>
    <x v="0"/>
    <x v="0"/>
  </r>
  <r>
    <x v="57"/>
    <x v="57"/>
    <x v="57"/>
    <x v="1"/>
    <x v="21"/>
    <x v="1"/>
    <x v="57"/>
    <x v="1"/>
    <x v="2"/>
    <x v="0"/>
    <x v="1"/>
    <x v="0"/>
    <x v="0"/>
    <x v="0"/>
    <x v="0"/>
    <x v="9"/>
    <x v="6"/>
    <x v="1"/>
    <x v="54"/>
    <x v="0"/>
    <x v="0"/>
  </r>
  <r>
    <x v="58"/>
    <x v="58"/>
    <x v="58"/>
    <x v="1"/>
    <x v="22"/>
    <x v="2"/>
    <x v="58"/>
    <x v="1"/>
    <x v="2"/>
    <x v="0"/>
    <x v="2"/>
    <x v="0"/>
    <x v="0"/>
    <x v="0"/>
    <x v="0"/>
    <x v="57"/>
    <x v="6"/>
    <x v="2"/>
    <x v="55"/>
    <x v="0"/>
    <x v="0"/>
  </r>
  <r>
    <x v="59"/>
    <x v="59"/>
    <x v="59"/>
    <x v="1"/>
    <x v="23"/>
    <x v="2"/>
    <x v="59"/>
    <x v="2"/>
    <x v="2"/>
    <x v="0"/>
    <x v="3"/>
    <x v="0"/>
    <x v="0"/>
    <x v="0"/>
    <x v="0"/>
    <x v="58"/>
    <x v="6"/>
    <x v="3"/>
    <x v="56"/>
    <x v="0"/>
    <x v="0"/>
  </r>
  <r>
    <x v="60"/>
    <x v="60"/>
    <x v="60"/>
    <x v="1"/>
    <x v="24"/>
    <x v="2"/>
    <x v="60"/>
    <x v="2"/>
    <x v="2"/>
    <x v="0"/>
    <x v="4"/>
    <x v="0"/>
    <x v="0"/>
    <x v="0"/>
    <x v="0"/>
    <x v="59"/>
    <x v="6"/>
    <x v="4"/>
    <x v="57"/>
    <x v="0"/>
    <x v="0"/>
  </r>
  <r>
    <x v="61"/>
    <x v="61"/>
    <x v="61"/>
    <x v="1"/>
    <x v="25"/>
    <x v="2"/>
    <x v="61"/>
    <x v="2"/>
    <x v="2"/>
    <x v="0"/>
    <x v="5"/>
    <x v="0"/>
    <x v="0"/>
    <x v="0"/>
    <x v="0"/>
    <x v="60"/>
    <x v="6"/>
    <x v="5"/>
    <x v="58"/>
    <x v="0"/>
    <x v="0"/>
  </r>
  <r>
    <x v="62"/>
    <x v="62"/>
    <x v="62"/>
    <x v="1"/>
    <x v="26"/>
    <x v="2"/>
    <x v="62"/>
    <x v="2"/>
    <x v="2"/>
    <x v="0"/>
    <x v="6"/>
    <x v="0"/>
    <x v="0"/>
    <x v="0"/>
    <x v="0"/>
    <x v="61"/>
    <x v="6"/>
    <x v="6"/>
    <x v="59"/>
    <x v="0"/>
    <x v="0"/>
  </r>
  <r>
    <x v="63"/>
    <x v="63"/>
    <x v="63"/>
    <x v="1"/>
    <x v="27"/>
    <x v="2"/>
    <x v="63"/>
    <x v="2"/>
    <x v="2"/>
    <x v="0"/>
    <x v="7"/>
    <x v="0"/>
    <x v="0"/>
    <x v="0"/>
    <x v="0"/>
    <x v="62"/>
    <x v="6"/>
    <x v="7"/>
    <x v="60"/>
    <x v="0"/>
    <x v="0"/>
  </r>
  <r>
    <x v="64"/>
    <x v="64"/>
    <x v="64"/>
    <x v="1"/>
    <x v="2"/>
    <x v="0"/>
    <x v="64"/>
    <x v="2"/>
    <x v="2"/>
    <x v="0"/>
    <x v="0"/>
    <x v="0"/>
    <x v="0"/>
    <x v="0"/>
    <x v="0"/>
    <x v="63"/>
    <x v="6"/>
    <x v="8"/>
    <x v="61"/>
    <x v="0"/>
    <x v="0"/>
  </r>
  <r>
    <x v="65"/>
    <x v="65"/>
    <x v="65"/>
    <x v="1"/>
    <x v="17"/>
    <x v="0"/>
    <x v="65"/>
    <x v="2"/>
    <x v="2"/>
    <x v="0"/>
    <x v="1"/>
    <x v="0"/>
    <x v="0"/>
    <x v="0"/>
    <x v="0"/>
    <x v="64"/>
    <x v="6"/>
    <x v="9"/>
    <x v="62"/>
    <x v="0"/>
    <x v="0"/>
  </r>
  <r>
    <x v="66"/>
    <x v="66"/>
    <x v="66"/>
    <x v="1"/>
    <x v="18"/>
    <x v="1"/>
    <x v="66"/>
    <x v="2"/>
    <x v="2"/>
    <x v="0"/>
    <x v="2"/>
    <x v="0"/>
    <x v="0"/>
    <x v="0"/>
    <x v="0"/>
    <x v="13"/>
    <x v="3"/>
    <x v="10"/>
    <x v="63"/>
    <x v="0"/>
    <x v="0"/>
  </r>
  <r>
    <x v="67"/>
    <x v="67"/>
    <x v="67"/>
    <x v="1"/>
    <x v="32"/>
    <x v="1"/>
    <x v="67"/>
    <x v="2"/>
    <x v="2"/>
    <x v="0"/>
    <x v="3"/>
    <x v="0"/>
    <x v="0"/>
    <x v="0"/>
    <x v="0"/>
    <x v="65"/>
    <x v="3"/>
    <x v="11"/>
    <x v="64"/>
    <x v="0"/>
    <x v="0"/>
  </r>
  <r>
    <x v="68"/>
    <x v="68"/>
    <x v="68"/>
    <x v="1"/>
    <x v="33"/>
    <x v="1"/>
    <x v="68"/>
    <x v="2"/>
    <x v="2"/>
    <x v="0"/>
    <x v="4"/>
    <x v="0"/>
    <x v="0"/>
    <x v="0"/>
    <x v="0"/>
    <x v="66"/>
    <x v="3"/>
    <x v="12"/>
    <x v="65"/>
    <x v="0"/>
    <x v="0"/>
  </r>
  <r>
    <x v="69"/>
    <x v="69"/>
    <x v="69"/>
    <x v="1"/>
    <x v="34"/>
    <x v="1"/>
    <x v="69"/>
    <x v="2"/>
    <x v="2"/>
    <x v="2"/>
    <x v="5"/>
    <x v="0"/>
    <x v="0"/>
    <x v="0"/>
    <x v="0"/>
    <x v="67"/>
    <x v="3"/>
    <x v="13"/>
    <x v="66"/>
    <x v="0"/>
    <x v="0"/>
  </r>
  <r>
    <x v="70"/>
    <x v="70"/>
    <x v="70"/>
    <x v="1"/>
    <x v="35"/>
    <x v="2"/>
    <x v="70"/>
    <x v="2"/>
    <x v="2"/>
    <x v="1"/>
    <x v="6"/>
    <x v="0"/>
    <x v="0"/>
    <x v="0"/>
    <x v="0"/>
    <x v="68"/>
    <x v="3"/>
    <x v="14"/>
    <x v="67"/>
    <x v="0"/>
    <x v="0"/>
  </r>
  <r>
    <x v="71"/>
    <x v="71"/>
    <x v="71"/>
    <x v="1"/>
    <x v="36"/>
    <x v="2"/>
    <x v="71"/>
    <x v="2"/>
    <x v="2"/>
    <x v="4"/>
    <x v="7"/>
    <x v="0"/>
    <x v="0"/>
    <x v="0"/>
    <x v="0"/>
    <x v="69"/>
    <x v="3"/>
    <x v="15"/>
    <x v="68"/>
    <x v="0"/>
    <x v="0"/>
  </r>
  <r>
    <x v="72"/>
    <x v="72"/>
    <x v="72"/>
    <x v="1"/>
    <x v="37"/>
    <x v="2"/>
    <x v="72"/>
    <x v="2"/>
    <x v="2"/>
    <x v="5"/>
    <x v="0"/>
    <x v="0"/>
    <x v="0"/>
    <x v="0"/>
    <x v="0"/>
    <x v="70"/>
    <x v="3"/>
    <x v="16"/>
    <x v="69"/>
    <x v="0"/>
    <x v="0"/>
  </r>
  <r>
    <x v="73"/>
    <x v="73"/>
    <x v="73"/>
    <x v="1"/>
    <x v="38"/>
    <x v="2"/>
    <x v="73"/>
    <x v="2"/>
    <x v="2"/>
    <x v="5"/>
    <x v="1"/>
    <x v="4"/>
    <x v="0"/>
    <x v="0"/>
    <x v="0"/>
    <x v="71"/>
    <x v="3"/>
    <x v="17"/>
    <x v="70"/>
    <x v="0"/>
    <x v="0"/>
  </r>
  <r>
    <x v="74"/>
    <x v="74"/>
    <x v="74"/>
    <x v="1"/>
    <x v="39"/>
    <x v="2"/>
    <x v="74"/>
    <x v="2"/>
    <x v="2"/>
    <x v="5"/>
    <x v="2"/>
    <x v="5"/>
    <x v="0"/>
    <x v="0"/>
    <x v="0"/>
    <x v="72"/>
    <x v="3"/>
    <x v="18"/>
    <x v="71"/>
    <x v="0"/>
    <x v="0"/>
  </r>
  <r>
    <x v="75"/>
    <x v="75"/>
    <x v="75"/>
    <x v="1"/>
    <x v="40"/>
    <x v="2"/>
    <x v="75"/>
    <x v="2"/>
    <x v="2"/>
    <x v="5"/>
    <x v="3"/>
    <x v="1"/>
    <x v="0"/>
    <x v="0"/>
    <x v="0"/>
    <x v="73"/>
    <x v="3"/>
    <x v="19"/>
    <x v="72"/>
    <x v="0"/>
    <x v="0"/>
  </r>
  <r>
    <x v="76"/>
    <x v="76"/>
    <x v="76"/>
    <x v="1"/>
    <x v="16"/>
    <x v="0"/>
    <x v="76"/>
    <x v="2"/>
    <x v="2"/>
    <x v="5"/>
    <x v="4"/>
    <x v="2"/>
    <x v="0"/>
    <x v="0"/>
    <x v="0"/>
    <x v="74"/>
    <x v="3"/>
    <x v="20"/>
    <x v="73"/>
    <x v="0"/>
    <x v="0"/>
  </r>
  <r>
    <x v="77"/>
    <x v="77"/>
    <x v="77"/>
    <x v="1"/>
    <x v="30"/>
    <x v="0"/>
    <x v="77"/>
    <x v="2"/>
    <x v="2"/>
    <x v="5"/>
    <x v="5"/>
    <x v="2"/>
    <x v="0"/>
    <x v="0"/>
    <x v="0"/>
    <x v="75"/>
    <x v="3"/>
    <x v="21"/>
    <x v="74"/>
    <x v="0"/>
    <x v="0"/>
  </r>
  <r>
    <x v="78"/>
    <x v="78"/>
    <x v="78"/>
    <x v="1"/>
    <x v="31"/>
    <x v="1"/>
    <x v="78"/>
    <x v="2"/>
    <x v="2"/>
    <x v="2"/>
    <x v="6"/>
    <x v="2"/>
    <x v="0"/>
    <x v="0"/>
    <x v="0"/>
    <x v="76"/>
    <x v="3"/>
    <x v="22"/>
    <x v="75"/>
    <x v="0"/>
    <x v="0"/>
  </r>
  <r>
    <x v="79"/>
    <x v="79"/>
    <x v="79"/>
    <x v="1"/>
    <x v="45"/>
    <x v="1"/>
    <x v="79"/>
    <x v="2"/>
    <x v="2"/>
    <x v="1"/>
    <x v="7"/>
    <x v="2"/>
    <x v="0"/>
    <x v="0"/>
    <x v="0"/>
    <x v="77"/>
    <x v="3"/>
    <x v="23"/>
    <x v="76"/>
    <x v="0"/>
    <x v="0"/>
  </r>
  <r>
    <x v="80"/>
    <x v="80"/>
    <x v="80"/>
    <x v="1"/>
    <x v="46"/>
    <x v="1"/>
    <x v="80"/>
    <x v="2"/>
    <x v="2"/>
    <x v="0"/>
    <x v="0"/>
    <x v="2"/>
    <x v="0"/>
    <x v="0"/>
    <x v="0"/>
    <x v="78"/>
    <x v="3"/>
    <x v="24"/>
    <x v="77"/>
    <x v="0"/>
    <x v="0"/>
  </r>
  <r>
    <x v="81"/>
    <x v="81"/>
    <x v="81"/>
    <x v="1"/>
    <x v="47"/>
    <x v="1"/>
    <x v="81"/>
    <x v="2"/>
    <x v="2"/>
    <x v="3"/>
    <x v="1"/>
    <x v="2"/>
    <x v="0"/>
    <x v="0"/>
    <x v="0"/>
    <x v="79"/>
    <x v="3"/>
    <x v="25"/>
    <x v="78"/>
    <x v="0"/>
    <x v="0"/>
  </r>
  <r>
    <x v="82"/>
    <x v="82"/>
    <x v="82"/>
    <x v="1"/>
    <x v="48"/>
    <x v="2"/>
    <x v="82"/>
    <x v="2"/>
    <x v="2"/>
    <x v="4"/>
    <x v="2"/>
    <x v="2"/>
    <x v="0"/>
    <x v="0"/>
    <x v="0"/>
    <x v="80"/>
    <x v="3"/>
    <x v="26"/>
    <x v="79"/>
    <x v="0"/>
    <x v="0"/>
  </r>
  <r>
    <x v="83"/>
    <x v="83"/>
    <x v="83"/>
    <x v="1"/>
    <x v="49"/>
    <x v="2"/>
    <x v="83"/>
    <x v="2"/>
    <x v="0"/>
    <x v="4"/>
    <x v="3"/>
    <x v="2"/>
    <x v="0"/>
    <x v="0"/>
    <x v="0"/>
    <x v="81"/>
    <x v="3"/>
    <x v="27"/>
    <x v="80"/>
    <x v="0"/>
    <x v="0"/>
  </r>
  <r>
    <x v="84"/>
    <x v="84"/>
    <x v="84"/>
    <x v="1"/>
    <x v="50"/>
    <x v="2"/>
    <x v="84"/>
    <x v="2"/>
    <x v="0"/>
    <x v="4"/>
    <x v="4"/>
    <x v="2"/>
    <x v="0"/>
    <x v="0"/>
    <x v="0"/>
    <x v="82"/>
    <x v="3"/>
    <x v="0"/>
    <x v="81"/>
    <x v="0"/>
    <x v="0"/>
  </r>
  <r>
    <x v="85"/>
    <x v="85"/>
    <x v="85"/>
    <x v="1"/>
    <x v="51"/>
    <x v="2"/>
    <x v="85"/>
    <x v="2"/>
    <x v="0"/>
    <x v="4"/>
    <x v="5"/>
    <x v="4"/>
    <x v="0"/>
    <x v="0"/>
    <x v="0"/>
    <x v="83"/>
    <x v="3"/>
    <x v="1"/>
    <x v="82"/>
    <x v="0"/>
    <x v="0"/>
  </r>
  <r>
    <x v="86"/>
    <x v="86"/>
    <x v="86"/>
    <x v="1"/>
    <x v="52"/>
    <x v="2"/>
    <x v="86"/>
    <x v="2"/>
    <x v="0"/>
    <x v="4"/>
    <x v="6"/>
    <x v="2"/>
    <x v="0"/>
    <x v="0"/>
    <x v="0"/>
    <x v="84"/>
    <x v="3"/>
    <x v="2"/>
    <x v="83"/>
    <x v="0"/>
    <x v="0"/>
  </r>
  <r>
    <x v="87"/>
    <x v="87"/>
    <x v="87"/>
    <x v="1"/>
    <x v="53"/>
    <x v="2"/>
    <x v="87"/>
    <x v="3"/>
    <x v="0"/>
    <x v="4"/>
    <x v="7"/>
    <x v="1"/>
    <x v="0"/>
    <x v="0"/>
    <x v="0"/>
    <x v="85"/>
    <x v="3"/>
    <x v="3"/>
    <x v="84"/>
    <x v="0"/>
    <x v="0"/>
  </r>
  <r>
    <x v="88"/>
    <x v="88"/>
    <x v="88"/>
    <x v="1"/>
    <x v="29"/>
    <x v="0"/>
    <x v="88"/>
    <x v="3"/>
    <x v="0"/>
    <x v="4"/>
    <x v="0"/>
    <x v="0"/>
    <x v="0"/>
    <x v="0"/>
    <x v="0"/>
    <x v="86"/>
    <x v="3"/>
    <x v="4"/>
    <x v="85"/>
    <x v="0"/>
    <x v="0"/>
  </r>
  <r>
    <x v="89"/>
    <x v="89"/>
    <x v="89"/>
    <x v="1"/>
    <x v="43"/>
    <x v="0"/>
    <x v="89"/>
    <x v="3"/>
    <x v="0"/>
    <x v="4"/>
    <x v="1"/>
    <x v="4"/>
    <x v="0"/>
    <x v="0"/>
    <x v="0"/>
    <x v="87"/>
    <x v="3"/>
    <x v="5"/>
    <x v="86"/>
    <x v="0"/>
    <x v="0"/>
  </r>
  <r>
    <x v="90"/>
    <x v="90"/>
    <x v="90"/>
    <x v="1"/>
    <x v="44"/>
    <x v="1"/>
    <x v="90"/>
    <x v="3"/>
    <x v="0"/>
    <x v="4"/>
    <x v="2"/>
    <x v="4"/>
    <x v="0"/>
    <x v="0"/>
    <x v="0"/>
    <x v="88"/>
    <x v="3"/>
    <x v="6"/>
    <x v="87"/>
    <x v="0"/>
    <x v="0"/>
  </r>
  <r>
    <x v="91"/>
    <x v="91"/>
    <x v="91"/>
    <x v="1"/>
    <x v="55"/>
    <x v="1"/>
    <x v="91"/>
    <x v="3"/>
    <x v="0"/>
    <x v="4"/>
    <x v="3"/>
    <x v="4"/>
    <x v="0"/>
    <x v="0"/>
    <x v="0"/>
    <x v="89"/>
    <x v="3"/>
    <x v="7"/>
    <x v="88"/>
    <x v="0"/>
    <x v="0"/>
  </r>
  <r>
    <x v="92"/>
    <x v="92"/>
    <x v="92"/>
    <x v="1"/>
    <x v="56"/>
    <x v="1"/>
    <x v="92"/>
    <x v="3"/>
    <x v="0"/>
    <x v="4"/>
    <x v="4"/>
    <x v="4"/>
    <x v="0"/>
    <x v="0"/>
    <x v="0"/>
    <x v="90"/>
    <x v="3"/>
    <x v="8"/>
    <x v="89"/>
    <x v="0"/>
    <x v="0"/>
  </r>
  <r>
    <x v="93"/>
    <x v="93"/>
    <x v="93"/>
    <x v="1"/>
    <x v="57"/>
    <x v="1"/>
    <x v="93"/>
    <x v="3"/>
    <x v="0"/>
    <x v="4"/>
    <x v="5"/>
    <x v="4"/>
    <x v="0"/>
    <x v="0"/>
    <x v="0"/>
    <x v="91"/>
    <x v="3"/>
    <x v="9"/>
    <x v="90"/>
    <x v="0"/>
    <x v="0"/>
  </r>
  <r>
    <x v="94"/>
    <x v="94"/>
    <x v="94"/>
    <x v="1"/>
    <x v="58"/>
    <x v="2"/>
    <x v="94"/>
    <x v="3"/>
    <x v="0"/>
    <x v="4"/>
    <x v="6"/>
    <x v="4"/>
    <x v="0"/>
    <x v="0"/>
    <x v="0"/>
    <x v="92"/>
    <x v="3"/>
    <x v="10"/>
    <x v="91"/>
    <x v="0"/>
    <x v="0"/>
  </r>
  <r>
    <x v="95"/>
    <x v="95"/>
    <x v="95"/>
    <x v="1"/>
    <x v="59"/>
    <x v="2"/>
    <x v="95"/>
    <x v="3"/>
    <x v="0"/>
    <x v="4"/>
    <x v="7"/>
    <x v="4"/>
    <x v="0"/>
    <x v="0"/>
    <x v="0"/>
    <x v="93"/>
    <x v="3"/>
    <x v="11"/>
    <x v="92"/>
    <x v="0"/>
    <x v="0"/>
  </r>
  <r>
    <x v="96"/>
    <x v="96"/>
    <x v="96"/>
    <x v="1"/>
    <x v="60"/>
    <x v="2"/>
    <x v="96"/>
    <x v="3"/>
    <x v="0"/>
    <x v="4"/>
    <x v="0"/>
    <x v="4"/>
    <x v="0"/>
    <x v="0"/>
    <x v="0"/>
    <x v="94"/>
    <x v="3"/>
    <x v="12"/>
    <x v="93"/>
    <x v="0"/>
    <x v="0"/>
  </r>
  <r>
    <x v="97"/>
    <x v="97"/>
    <x v="97"/>
    <x v="1"/>
    <x v="61"/>
    <x v="2"/>
    <x v="97"/>
    <x v="3"/>
    <x v="0"/>
    <x v="4"/>
    <x v="1"/>
    <x v="4"/>
    <x v="0"/>
    <x v="0"/>
    <x v="0"/>
    <x v="0"/>
    <x v="3"/>
    <x v="13"/>
    <x v="94"/>
    <x v="0"/>
    <x v="0"/>
  </r>
  <r>
    <x v="98"/>
    <x v="98"/>
    <x v="98"/>
    <x v="1"/>
    <x v="62"/>
    <x v="2"/>
    <x v="98"/>
    <x v="3"/>
    <x v="0"/>
    <x v="4"/>
    <x v="2"/>
    <x v="4"/>
    <x v="0"/>
    <x v="0"/>
    <x v="0"/>
    <x v="95"/>
    <x v="3"/>
    <x v="14"/>
    <x v="95"/>
    <x v="0"/>
    <x v="0"/>
  </r>
  <r>
    <x v="99"/>
    <x v="99"/>
    <x v="99"/>
    <x v="1"/>
    <x v="63"/>
    <x v="2"/>
    <x v="99"/>
    <x v="3"/>
    <x v="0"/>
    <x v="4"/>
    <x v="3"/>
    <x v="4"/>
    <x v="3"/>
    <x v="0"/>
    <x v="0"/>
    <x v="96"/>
    <x v="3"/>
    <x v="15"/>
    <x v="96"/>
    <x v="0"/>
    <x v="0"/>
  </r>
  <r>
    <x v="100"/>
    <x v="100"/>
    <x v="100"/>
    <x v="1"/>
    <x v="3"/>
    <x v="0"/>
    <x v="100"/>
    <x v="3"/>
    <x v="0"/>
    <x v="4"/>
    <x v="4"/>
    <x v="4"/>
    <x v="3"/>
    <x v="0"/>
    <x v="0"/>
    <x v="97"/>
    <x v="3"/>
    <x v="16"/>
    <x v="97"/>
    <x v="0"/>
    <x v="0"/>
  </r>
  <r>
    <x v="101"/>
    <x v="101"/>
    <x v="101"/>
    <x v="1"/>
    <x v="4"/>
    <x v="0"/>
    <x v="101"/>
    <x v="3"/>
    <x v="0"/>
    <x v="4"/>
    <x v="5"/>
    <x v="4"/>
    <x v="3"/>
    <x v="0"/>
    <x v="0"/>
    <x v="98"/>
    <x v="3"/>
    <x v="17"/>
    <x v="98"/>
    <x v="0"/>
    <x v="0"/>
  </r>
  <r>
    <x v="102"/>
    <x v="102"/>
    <x v="102"/>
    <x v="1"/>
    <x v="5"/>
    <x v="1"/>
    <x v="102"/>
    <x v="3"/>
    <x v="0"/>
    <x v="4"/>
    <x v="6"/>
    <x v="4"/>
    <x v="3"/>
    <x v="0"/>
    <x v="0"/>
    <x v="99"/>
    <x v="3"/>
    <x v="18"/>
    <x v="99"/>
    <x v="0"/>
    <x v="0"/>
  </r>
  <r>
    <x v="103"/>
    <x v="103"/>
    <x v="103"/>
    <x v="1"/>
    <x v="6"/>
    <x v="1"/>
    <x v="103"/>
    <x v="3"/>
    <x v="0"/>
    <x v="4"/>
    <x v="7"/>
    <x v="4"/>
    <x v="3"/>
    <x v="0"/>
    <x v="0"/>
    <x v="100"/>
    <x v="3"/>
    <x v="19"/>
    <x v="100"/>
    <x v="0"/>
    <x v="0"/>
  </r>
  <r>
    <x v="104"/>
    <x v="104"/>
    <x v="104"/>
    <x v="1"/>
    <x v="7"/>
    <x v="1"/>
    <x v="104"/>
    <x v="3"/>
    <x v="0"/>
    <x v="4"/>
    <x v="0"/>
    <x v="4"/>
    <x v="3"/>
    <x v="0"/>
    <x v="0"/>
    <x v="101"/>
    <x v="3"/>
    <x v="20"/>
    <x v="101"/>
    <x v="0"/>
    <x v="0"/>
  </r>
  <r>
    <x v="105"/>
    <x v="105"/>
    <x v="105"/>
    <x v="1"/>
    <x v="8"/>
    <x v="2"/>
    <x v="105"/>
    <x v="3"/>
    <x v="0"/>
    <x v="4"/>
    <x v="1"/>
    <x v="4"/>
    <x v="3"/>
    <x v="0"/>
    <x v="0"/>
    <x v="102"/>
    <x v="3"/>
    <x v="21"/>
    <x v="102"/>
    <x v="0"/>
    <x v="0"/>
  </r>
  <r>
    <x v="106"/>
    <x v="106"/>
    <x v="106"/>
    <x v="1"/>
    <x v="9"/>
    <x v="2"/>
    <x v="106"/>
    <x v="3"/>
    <x v="0"/>
    <x v="4"/>
    <x v="2"/>
    <x v="4"/>
    <x v="3"/>
    <x v="0"/>
    <x v="0"/>
    <x v="3"/>
    <x v="3"/>
    <x v="22"/>
    <x v="103"/>
    <x v="0"/>
    <x v="0"/>
  </r>
  <r>
    <x v="107"/>
    <x v="107"/>
    <x v="107"/>
    <x v="1"/>
    <x v="10"/>
    <x v="2"/>
    <x v="107"/>
    <x v="3"/>
    <x v="0"/>
    <x v="4"/>
    <x v="3"/>
    <x v="4"/>
    <x v="3"/>
    <x v="0"/>
    <x v="0"/>
    <x v="103"/>
    <x v="3"/>
    <x v="23"/>
    <x v="104"/>
    <x v="0"/>
    <x v="0"/>
  </r>
  <r>
    <x v="108"/>
    <x v="108"/>
    <x v="108"/>
    <x v="1"/>
    <x v="11"/>
    <x v="2"/>
    <x v="108"/>
    <x v="3"/>
    <x v="0"/>
    <x v="4"/>
    <x v="4"/>
    <x v="4"/>
    <x v="3"/>
    <x v="0"/>
    <x v="0"/>
    <x v="104"/>
    <x v="3"/>
    <x v="24"/>
    <x v="105"/>
    <x v="0"/>
    <x v="0"/>
  </r>
  <r>
    <x v="109"/>
    <x v="109"/>
    <x v="109"/>
    <x v="1"/>
    <x v="12"/>
    <x v="2"/>
    <x v="109"/>
    <x v="3"/>
    <x v="0"/>
    <x v="4"/>
    <x v="5"/>
    <x v="4"/>
    <x v="3"/>
    <x v="0"/>
    <x v="0"/>
    <x v="105"/>
    <x v="3"/>
    <x v="25"/>
    <x v="106"/>
    <x v="0"/>
    <x v="0"/>
  </r>
  <r>
    <x v="110"/>
    <x v="110"/>
    <x v="110"/>
    <x v="1"/>
    <x v="13"/>
    <x v="2"/>
    <x v="110"/>
    <x v="3"/>
    <x v="0"/>
    <x v="3"/>
    <x v="6"/>
    <x v="4"/>
    <x v="3"/>
    <x v="0"/>
    <x v="0"/>
    <x v="17"/>
    <x v="3"/>
    <x v="26"/>
    <x v="107"/>
    <x v="0"/>
    <x v="0"/>
  </r>
  <r>
    <x v="111"/>
    <x v="111"/>
    <x v="111"/>
    <x v="1"/>
    <x v="14"/>
    <x v="2"/>
    <x v="111"/>
    <x v="3"/>
    <x v="0"/>
    <x v="3"/>
    <x v="7"/>
    <x v="4"/>
    <x v="3"/>
    <x v="0"/>
    <x v="0"/>
    <x v="106"/>
    <x v="3"/>
    <x v="27"/>
    <x v="108"/>
    <x v="0"/>
    <x v="0"/>
  </r>
  <r>
    <x v="112"/>
    <x v="112"/>
    <x v="112"/>
    <x v="1"/>
    <x v="42"/>
    <x v="0"/>
    <x v="112"/>
    <x v="3"/>
    <x v="0"/>
    <x v="3"/>
    <x v="0"/>
    <x v="4"/>
    <x v="3"/>
    <x v="0"/>
    <x v="0"/>
    <x v="107"/>
    <x v="3"/>
    <x v="0"/>
    <x v="109"/>
    <x v="0"/>
    <x v="0"/>
  </r>
  <r>
    <x v="113"/>
    <x v="113"/>
    <x v="113"/>
    <x v="1"/>
    <x v="54"/>
    <x v="1"/>
    <x v="113"/>
    <x v="3"/>
    <x v="0"/>
    <x v="3"/>
    <x v="1"/>
    <x v="4"/>
    <x v="3"/>
    <x v="0"/>
    <x v="0"/>
    <x v="108"/>
    <x v="3"/>
    <x v="1"/>
    <x v="110"/>
    <x v="0"/>
    <x v="0"/>
  </r>
  <r>
    <x v="114"/>
    <x v="114"/>
    <x v="114"/>
    <x v="1"/>
    <x v="19"/>
    <x v="1"/>
    <x v="114"/>
    <x v="3"/>
    <x v="0"/>
    <x v="3"/>
    <x v="2"/>
    <x v="4"/>
    <x v="3"/>
    <x v="0"/>
    <x v="0"/>
    <x v="109"/>
    <x v="3"/>
    <x v="2"/>
    <x v="111"/>
    <x v="0"/>
    <x v="0"/>
  </r>
  <r>
    <x v="115"/>
    <x v="115"/>
    <x v="115"/>
    <x v="1"/>
    <x v="20"/>
    <x v="1"/>
    <x v="115"/>
    <x v="3"/>
    <x v="0"/>
    <x v="3"/>
    <x v="3"/>
    <x v="1"/>
    <x v="3"/>
    <x v="0"/>
    <x v="0"/>
    <x v="110"/>
    <x v="3"/>
    <x v="3"/>
    <x v="112"/>
    <x v="0"/>
    <x v="0"/>
  </r>
  <r>
    <x v="116"/>
    <x v="116"/>
    <x v="116"/>
    <x v="1"/>
    <x v="21"/>
    <x v="1"/>
    <x v="116"/>
    <x v="3"/>
    <x v="0"/>
    <x v="3"/>
    <x v="4"/>
    <x v="5"/>
    <x v="3"/>
    <x v="0"/>
    <x v="0"/>
    <x v="111"/>
    <x v="3"/>
    <x v="4"/>
    <x v="113"/>
    <x v="0"/>
    <x v="0"/>
  </r>
  <r>
    <x v="117"/>
    <x v="117"/>
    <x v="117"/>
    <x v="1"/>
    <x v="22"/>
    <x v="2"/>
    <x v="117"/>
    <x v="3"/>
    <x v="0"/>
    <x v="3"/>
    <x v="5"/>
    <x v="5"/>
    <x v="3"/>
    <x v="0"/>
    <x v="0"/>
    <x v="112"/>
    <x v="3"/>
    <x v="5"/>
    <x v="114"/>
    <x v="0"/>
    <x v="0"/>
  </r>
  <r>
    <x v="118"/>
    <x v="118"/>
    <x v="118"/>
    <x v="1"/>
    <x v="23"/>
    <x v="2"/>
    <x v="118"/>
    <x v="4"/>
    <x v="0"/>
    <x v="3"/>
    <x v="6"/>
    <x v="5"/>
    <x v="3"/>
    <x v="0"/>
    <x v="0"/>
    <x v="113"/>
    <x v="3"/>
    <x v="6"/>
    <x v="115"/>
    <x v="0"/>
    <x v="0"/>
  </r>
  <r>
    <x v="119"/>
    <x v="119"/>
    <x v="119"/>
    <x v="1"/>
    <x v="24"/>
    <x v="2"/>
    <x v="119"/>
    <x v="4"/>
    <x v="0"/>
    <x v="3"/>
    <x v="7"/>
    <x v="5"/>
    <x v="3"/>
    <x v="0"/>
    <x v="0"/>
    <x v="114"/>
    <x v="3"/>
    <x v="7"/>
    <x v="116"/>
    <x v="0"/>
    <x v="0"/>
  </r>
  <r>
    <x v="120"/>
    <x v="120"/>
    <x v="120"/>
    <x v="1"/>
    <x v="25"/>
    <x v="2"/>
    <x v="120"/>
    <x v="4"/>
    <x v="0"/>
    <x v="3"/>
    <x v="0"/>
    <x v="5"/>
    <x v="3"/>
    <x v="0"/>
    <x v="0"/>
    <x v="115"/>
    <x v="3"/>
    <x v="8"/>
    <x v="117"/>
    <x v="0"/>
    <x v="0"/>
  </r>
  <r>
    <x v="121"/>
    <x v="121"/>
    <x v="121"/>
    <x v="1"/>
    <x v="26"/>
    <x v="2"/>
    <x v="121"/>
    <x v="4"/>
    <x v="0"/>
    <x v="3"/>
    <x v="1"/>
    <x v="5"/>
    <x v="3"/>
    <x v="0"/>
    <x v="0"/>
    <x v="116"/>
    <x v="3"/>
    <x v="9"/>
    <x v="118"/>
    <x v="0"/>
    <x v="0"/>
  </r>
  <r>
    <x v="122"/>
    <x v="122"/>
    <x v="122"/>
    <x v="1"/>
    <x v="27"/>
    <x v="2"/>
    <x v="122"/>
    <x v="4"/>
    <x v="0"/>
    <x v="3"/>
    <x v="2"/>
    <x v="5"/>
    <x v="3"/>
    <x v="0"/>
    <x v="0"/>
    <x v="117"/>
    <x v="3"/>
    <x v="10"/>
    <x v="119"/>
    <x v="0"/>
    <x v="0"/>
  </r>
  <r>
    <x v="123"/>
    <x v="123"/>
    <x v="123"/>
    <x v="1"/>
    <x v="17"/>
    <x v="0"/>
    <x v="123"/>
    <x v="4"/>
    <x v="0"/>
    <x v="3"/>
    <x v="3"/>
    <x v="5"/>
    <x v="3"/>
    <x v="0"/>
    <x v="0"/>
    <x v="118"/>
    <x v="3"/>
    <x v="11"/>
    <x v="120"/>
    <x v="0"/>
    <x v="0"/>
  </r>
  <r>
    <x v="124"/>
    <x v="124"/>
    <x v="124"/>
    <x v="1"/>
    <x v="18"/>
    <x v="1"/>
    <x v="124"/>
    <x v="4"/>
    <x v="0"/>
    <x v="3"/>
    <x v="4"/>
    <x v="5"/>
    <x v="3"/>
    <x v="0"/>
    <x v="0"/>
    <x v="119"/>
    <x v="3"/>
    <x v="12"/>
    <x v="121"/>
    <x v="0"/>
    <x v="0"/>
  </r>
  <r>
    <x v="125"/>
    <x v="125"/>
    <x v="125"/>
    <x v="1"/>
    <x v="32"/>
    <x v="1"/>
    <x v="125"/>
    <x v="4"/>
    <x v="0"/>
    <x v="3"/>
    <x v="5"/>
    <x v="5"/>
    <x v="3"/>
    <x v="0"/>
    <x v="0"/>
    <x v="120"/>
    <x v="3"/>
    <x v="13"/>
    <x v="122"/>
    <x v="0"/>
    <x v="0"/>
  </r>
  <r>
    <x v="126"/>
    <x v="126"/>
    <x v="126"/>
    <x v="1"/>
    <x v="33"/>
    <x v="1"/>
    <x v="126"/>
    <x v="4"/>
    <x v="0"/>
    <x v="3"/>
    <x v="6"/>
    <x v="5"/>
    <x v="3"/>
    <x v="0"/>
    <x v="0"/>
    <x v="121"/>
    <x v="3"/>
    <x v="14"/>
    <x v="123"/>
    <x v="0"/>
    <x v="0"/>
  </r>
  <r>
    <x v="127"/>
    <x v="127"/>
    <x v="127"/>
    <x v="1"/>
    <x v="34"/>
    <x v="1"/>
    <x v="127"/>
    <x v="4"/>
    <x v="0"/>
    <x v="3"/>
    <x v="7"/>
    <x v="5"/>
    <x v="3"/>
    <x v="0"/>
    <x v="0"/>
    <x v="122"/>
    <x v="3"/>
    <x v="15"/>
    <x v="124"/>
    <x v="0"/>
    <x v="0"/>
  </r>
  <r>
    <x v="128"/>
    <x v="128"/>
    <x v="128"/>
    <x v="1"/>
    <x v="35"/>
    <x v="2"/>
    <x v="128"/>
    <x v="4"/>
    <x v="0"/>
    <x v="3"/>
    <x v="0"/>
    <x v="5"/>
    <x v="3"/>
    <x v="0"/>
    <x v="0"/>
    <x v="123"/>
    <x v="3"/>
    <x v="16"/>
    <x v="125"/>
    <x v="0"/>
    <x v="0"/>
  </r>
  <r>
    <x v="129"/>
    <x v="129"/>
    <x v="129"/>
    <x v="1"/>
    <x v="36"/>
    <x v="2"/>
    <x v="129"/>
    <x v="4"/>
    <x v="0"/>
    <x v="3"/>
    <x v="1"/>
    <x v="5"/>
    <x v="3"/>
    <x v="0"/>
    <x v="0"/>
    <x v="124"/>
    <x v="3"/>
    <x v="17"/>
    <x v="126"/>
    <x v="0"/>
    <x v="0"/>
  </r>
  <r>
    <x v="130"/>
    <x v="130"/>
    <x v="130"/>
    <x v="1"/>
    <x v="37"/>
    <x v="2"/>
    <x v="130"/>
    <x v="4"/>
    <x v="0"/>
    <x v="3"/>
    <x v="2"/>
    <x v="5"/>
    <x v="3"/>
    <x v="0"/>
    <x v="0"/>
    <x v="125"/>
    <x v="3"/>
    <x v="18"/>
    <x v="127"/>
    <x v="0"/>
    <x v="0"/>
  </r>
  <r>
    <x v="131"/>
    <x v="131"/>
    <x v="131"/>
    <x v="1"/>
    <x v="38"/>
    <x v="2"/>
    <x v="131"/>
    <x v="4"/>
    <x v="0"/>
    <x v="3"/>
    <x v="3"/>
    <x v="5"/>
    <x v="3"/>
    <x v="0"/>
    <x v="0"/>
    <x v="126"/>
    <x v="3"/>
    <x v="19"/>
    <x v="128"/>
    <x v="0"/>
    <x v="0"/>
  </r>
  <r>
    <x v="132"/>
    <x v="132"/>
    <x v="132"/>
    <x v="1"/>
    <x v="39"/>
    <x v="2"/>
    <x v="132"/>
    <x v="4"/>
    <x v="0"/>
    <x v="3"/>
    <x v="4"/>
    <x v="5"/>
    <x v="3"/>
    <x v="0"/>
    <x v="0"/>
    <x v="127"/>
    <x v="3"/>
    <x v="20"/>
    <x v="129"/>
    <x v="0"/>
    <x v="0"/>
  </r>
  <r>
    <x v="133"/>
    <x v="133"/>
    <x v="133"/>
    <x v="1"/>
    <x v="40"/>
    <x v="2"/>
    <x v="133"/>
    <x v="4"/>
    <x v="0"/>
    <x v="3"/>
    <x v="5"/>
    <x v="5"/>
    <x v="3"/>
    <x v="0"/>
    <x v="0"/>
    <x v="128"/>
    <x v="3"/>
    <x v="21"/>
    <x v="130"/>
    <x v="0"/>
    <x v="0"/>
  </r>
  <r>
    <x v="134"/>
    <x v="134"/>
    <x v="134"/>
    <x v="1"/>
    <x v="30"/>
    <x v="0"/>
    <x v="134"/>
    <x v="4"/>
    <x v="0"/>
    <x v="3"/>
    <x v="6"/>
    <x v="5"/>
    <x v="3"/>
    <x v="0"/>
    <x v="0"/>
    <x v="129"/>
    <x v="3"/>
    <x v="22"/>
    <x v="131"/>
    <x v="0"/>
    <x v="0"/>
  </r>
  <r>
    <x v="135"/>
    <x v="135"/>
    <x v="135"/>
    <x v="1"/>
    <x v="31"/>
    <x v="1"/>
    <x v="135"/>
    <x v="4"/>
    <x v="0"/>
    <x v="3"/>
    <x v="7"/>
    <x v="5"/>
    <x v="3"/>
    <x v="0"/>
    <x v="0"/>
    <x v="130"/>
    <x v="3"/>
    <x v="23"/>
    <x v="132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C10" firstHeaderRow="0" firstDataRow="1" firstDataCol="1"/>
  <pivotFields count="21">
    <pivotField compact="0" showAll="0">
      <items count="1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dataField="1" compact="0" showAll="0">
      <items count="1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7">
        <item x="1"/>
        <item x="2"/>
        <item x="3"/>
        <item x="4"/>
        <item x="0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33">
        <item x="60"/>
        <item x="61"/>
        <item x="62"/>
        <item x="63"/>
        <item x="64"/>
        <item x="1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0"/>
        <item x="95"/>
        <item x="96"/>
        <item x="97"/>
        <item x="98"/>
        <item x="99"/>
        <item x="100"/>
        <item x="101"/>
        <item x="102"/>
        <item x="3"/>
        <item x="103"/>
        <item x="104"/>
        <item x="105"/>
        <item x="17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2"/>
        <item x="16"/>
        <item x="8"/>
        <item x="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14"/>
        <item x="56"/>
        <item x="15"/>
        <item x="11"/>
        <item x="5"/>
        <item x="59"/>
        <item x="9"/>
        <item x="12"/>
        <item x="57"/>
        <item x="10"/>
        <item x="6"/>
        <item x="7"/>
        <item x="58"/>
        <item x="1"/>
        <item x="131"/>
        <item t="default"/>
      </items>
    </pivotField>
    <pivotField compact="0" showAll="0"/>
    <pivotField compact="0" showAll="0"/>
    <pivotField compact="0" showAll="0"/>
    <pivotField compact="0" showAll="0"/>
    <pivotField compact="0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 id" fld="1" baseField="0" baseItem="0"/>
    <dataField name="Sum of Amount" fld="1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6" firstHeaderRow="1" firstDataRow="1" firstDataCol="1"/>
  <pivotFields count="21">
    <pivotField compact="0" showAll="0">
      <items count="1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t="default"/>
      </items>
    </pivotField>
    <pivotField dataField="1" compact="0" showAll="0">
      <items count="1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t="default"/>
      </items>
    </pivotField>
    <pivotField compact="0" showAll="0"/>
    <pivotField axis="axisRow" compact="0" showAll="0">
      <items count="3">
        <item x="1"/>
        <item x="0"/>
        <item t="default"/>
      </items>
    </pivotField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Order id" fld="1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S138:U155" firstHeaderRow="1" firstDataRow="1" firstDataCol="0"/>
  <pivotFields count="21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U32" totalsRowShown="0">
  <autoFilter xmlns:etc="http://www.wps.cn/officeDocument/2017/etCustomData" ref="A1:U32" etc:filterBottomFollowUsedRange="0"/>
  <tableColumns count="21">
    <tableColumn id="1" name="Index"/>
    <tableColumn id="2" name="Order id"/>
    <tableColumn id="3" name="Cust id"/>
    <tableColumn id="4" name="Gender"/>
    <tableColumn id="5" name="Age"/>
    <tableColumn id="6" name="Age group"/>
    <tableColumn id="7" name="Date" dataDxfId="0"/>
    <tableColumn id="8" name="month"/>
    <tableColumn id="9" name="Status"/>
    <tableColumn id="10" name="Channel"/>
    <tableColumn id="11" name="Sku"/>
    <tableColumn id="12" name="Size"/>
    <tableColumn id="13" name="Category"/>
    <tableColumn id="14" name="Qty"/>
    <tableColumn id="15" name="currency"/>
    <tableColumn id="16" name="Amount"/>
    <tableColumn id="17" name="Ship-city"/>
    <tableColumn id="18" name="state"/>
    <tableColumn id="19" name="Ship-postal-code"/>
    <tableColumn id="20" name="Ship-count"/>
    <tableColumn id="21" name="B26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control" Target="../activeX/activeX1.x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2"/>
  <sheetViews>
    <sheetView workbookViewId="0">
      <selection activeCell="A1" sqref="A1:U32"/>
    </sheetView>
  </sheetViews>
  <sheetFormatPr defaultColWidth="9.14285714285714" defaultRowHeight="15"/>
  <cols>
    <col min="7" max="7" width="11.142857142857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29</v>
      </c>
      <c r="B2">
        <v>1029</v>
      </c>
      <c r="C2" t="s">
        <v>21</v>
      </c>
      <c r="D2" t="s">
        <v>22</v>
      </c>
      <c r="E2">
        <v>20</v>
      </c>
      <c r="F2" t="s">
        <v>23</v>
      </c>
      <c r="G2" s="2">
        <v>44927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>
        <v>1</v>
      </c>
      <c r="O2" t="s">
        <v>30</v>
      </c>
      <c r="P2">
        <v>610</v>
      </c>
      <c r="Q2" t="s">
        <v>31</v>
      </c>
      <c r="R2" t="s">
        <v>32</v>
      </c>
      <c r="S2">
        <v>1022</v>
      </c>
      <c r="T2" t="s">
        <v>33</v>
      </c>
      <c r="U2" t="b">
        <v>0</v>
      </c>
    </row>
    <row r="3" spans="1:21">
      <c r="A3">
        <v>30</v>
      </c>
      <c r="B3">
        <v>1030</v>
      </c>
      <c r="C3" t="s">
        <v>34</v>
      </c>
      <c r="D3" t="s">
        <v>22</v>
      </c>
      <c r="E3">
        <v>24</v>
      </c>
      <c r="F3" t="s">
        <v>23</v>
      </c>
      <c r="G3" s="2">
        <v>44928</v>
      </c>
      <c r="H3" t="s">
        <v>24</v>
      </c>
      <c r="I3" t="s">
        <v>25</v>
      </c>
      <c r="J3" t="s">
        <v>26</v>
      </c>
      <c r="K3" t="s">
        <v>35</v>
      </c>
      <c r="L3" t="s">
        <v>36</v>
      </c>
      <c r="M3" t="s">
        <v>29</v>
      </c>
      <c r="N3">
        <v>1</v>
      </c>
      <c r="O3" t="s">
        <v>30</v>
      </c>
      <c r="P3">
        <v>611</v>
      </c>
      <c r="Q3" t="s">
        <v>31</v>
      </c>
      <c r="R3" t="s">
        <v>37</v>
      </c>
      <c r="S3">
        <v>1023</v>
      </c>
      <c r="T3" t="s">
        <v>33</v>
      </c>
      <c r="U3" t="b">
        <v>0</v>
      </c>
    </row>
    <row r="4" spans="1:21">
      <c r="A4">
        <v>31</v>
      </c>
      <c r="B4">
        <v>1031</v>
      </c>
      <c r="C4" t="s">
        <v>38</v>
      </c>
      <c r="D4" t="s">
        <v>22</v>
      </c>
      <c r="E4">
        <v>28</v>
      </c>
      <c r="F4" t="s">
        <v>23</v>
      </c>
      <c r="G4" s="2">
        <v>44929</v>
      </c>
      <c r="H4" t="s">
        <v>24</v>
      </c>
      <c r="I4" t="s">
        <v>25</v>
      </c>
      <c r="J4" t="s">
        <v>26</v>
      </c>
      <c r="K4" t="s">
        <v>39</v>
      </c>
      <c r="L4" t="s">
        <v>40</v>
      </c>
      <c r="M4" t="s">
        <v>29</v>
      </c>
      <c r="N4">
        <v>1</v>
      </c>
      <c r="O4" t="s">
        <v>30</v>
      </c>
      <c r="P4">
        <v>612</v>
      </c>
      <c r="Q4" t="s">
        <v>31</v>
      </c>
      <c r="R4" t="s">
        <v>41</v>
      </c>
      <c r="S4">
        <v>1024</v>
      </c>
      <c r="T4" t="s">
        <v>33</v>
      </c>
      <c r="U4" t="b">
        <v>0</v>
      </c>
    </row>
    <row r="5" spans="1:21">
      <c r="A5">
        <v>32</v>
      </c>
      <c r="B5">
        <v>1032</v>
      </c>
      <c r="C5" t="s">
        <v>42</v>
      </c>
      <c r="D5" t="s">
        <v>22</v>
      </c>
      <c r="E5">
        <v>33</v>
      </c>
      <c r="F5" t="s">
        <v>43</v>
      </c>
      <c r="G5" s="2">
        <v>44930</v>
      </c>
      <c r="H5" t="s">
        <v>24</v>
      </c>
      <c r="I5" t="s">
        <v>44</v>
      </c>
      <c r="J5" t="s">
        <v>26</v>
      </c>
      <c r="K5" t="s">
        <v>45</v>
      </c>
      <c r="L5" t="s">
        <v>46</v>
      </c>
      <c r="M5" t="s">
        <v>29</v>
      </c>
      <c r="N5">
        <v>1</v>
      </c>
      <c r="O5" t="s">
        <v>30</v>
      </c>
      <c r="P5">
        <v>613</v>
      </c>
      <c r="Q5" t="s">
        <v>31</v>
      </c>
      <c r="R5" t="s">
        <v>47</v>
      </c>
      <c r="S5">
        <v>1025</v>
      </c>
      <c r="T5" t="s">
        <v>33</v>
      </c>
      <c r="U5" t="b">
        <v>0</v>
      </c>
    </row>
    <row r="6" spans="1:21">
      <c r="A6">
        <v>33</v>
      </c>
      <c r="B6">
        <v>1033</v>
      </c>
      <c r="C6" t="s">
        <v>48</v>
      </c>
      <c r="D6" t="s">
        <v>22</v>
      </c>
      <c r="E6">
        <v>37</v>
      </c>
      <c r="F6" t="s">
        <v>43</v>
      </c>
      <c r="G6" s="2">
        <v>44931</v>
      </c>
      <c r="H6" t="s">
        <v>24</v>
      </c>
      <c r="I6" t="s">
        <v>44</v>
      </c>
      <c r="J6" t="s">
        <v>26</v>
      </c>
      <c r="K6" t="s">
        <v>49</v>
      </c>
      <c r="L6" t="s">
        <v>28</v>
      </c>
      <c r="M6" t="s">
        <v>29</v>
      </c>
      <c r="N6">
        <v>1</v>
      </c>
      <c r="O6" t="s">
        <v>30</v>
      </c>
      <c r="P6">
        <v>614</v>
      </c>
      <c r="Q6" t="s">
        <v>31</v>
      </c>
      <c r="R6" t="s">
        <v>50</v>
      </c>
      <c r="S6">
        <v>1026</v>
      </c>
      <c r="T6" t="s">
        <v>33</v>
      </c>
      <c r="U6" t="b">
        <v>0</v>
      </c>
    </row>
    <row r="7" spans="1:21">
      <c r="A7">
        <v>34</v>
      </c>
      <c r="B7">
        <v>1034</v>
      </c>
      <c r="C7" t="s">
        <v>51</v>
      </c>
      <c r="D7" t="s">
        <v>22</v>
      </c>
      <c r="E7">
        <v>42</v>
      </c>
      <c r="F7" t="s">
        <v>43</v>
      </c>
      <c r="G7" s="2">
        <v>44932</v>
      </c>
      <c r="H7" t="s">
        <v>24</v>
      </c>
      <c r="I7" t="s">
        <v>44</v>
      </c>
      <c r="J7" t="s">
        <v>26</v>
      </c>
      <c r="K7" t="s">
        <v>52</v>
      </c>
      <c r="L7" t="s">
        <v>36</v>
      </c>
      <c r="M7" t="s">
        <v>29</v>
      </c>
      <c r="N7">
        <v>1</v>
      </c>
      <c r="O7" t="s">
        <v>30</v>
      </c>
      <c r="P7">
        <v>615</v>
      </c>
      <c r="Q7" t="s">
        <v>31</v>
      </c>
      <c r="R7" t="s">
        <v>53</v>
      </c>
      <c r="S7">
        <v>1027</v>
      </c>
      <c r="T7" t="s">
        <v>33</v>
      </c>
      <c r="U7" t="b">
        <v>0</v>
      </c>
    </row>
    <row r="8" spans="1:21">
      <c r="A8">
        <v>35</v>
      </c>
      <c r="B8">
        <v>1035</v>
      </c>
      <c r="C8" t="s">
        <v>54</v>
      </c>
      <c r="D8" t="s">
        <v>22</v>
      </c>
      <c r="E8">
        <v>47</v>
      </c>
      <c r="F8" t="s">
        <v>43</v>
      </c>
      <c r="G8" s="2">
        <v>44933</v>
      </c>
      <c r="H8" t="s">
        <v>24</v>
      </c>
      <c r="I8" t="s">
        <v>44</v>
      </c>
      <c r="J8" t="s">
        <v>26</v>
      </c>
      <c r="K8" t="s">
        <v>55</v>
      </c>
      <c r="L8" t="s">
        <v>40</v>
      </c>
      <c r="M8" t="s">
        <v>29</v>
      </c>
      <c r="N8">
        <v>1</v>
      </c>
      <c r="O8" t="s">
        <v>30</v>
      </c>
      <c r="P8">
        <v>616</v>
      </c>
      <c r="Q8" t="s">
        <v>31</v>
      </c>
      <c r="R8" t="s">
        <v>56</v>
      </c>
      <c r="S8">
        <v>1028</v>
      </c>
      <c r="T8" t="s">
        <v>33</v>
      </c>
      <c r="U8" t="b">
        <v>0</v>
      </c>
    </row>
    <row r="9" spans="1:21">
      <c r="A9">
        <v>36</v>
      </c>
      <c r="B9">
        <v>1036</v>
      </c>
      <c r="C9" t="s">
        <v>57</v>
      </c>
      <c r="D9" t="s">
        <v>22</v>
      </c>
      <c r="E9">
        <v>52</v>
      </c>
      <c r="F9" t="s">
        <v>58</v>
      </c>
      <c r="G9" s="2">
        <v>44934</v>
      </c>
      <c r="H9" t="s">
        <v>24</v>
      </c>
      <c r="I9" t="s">
        <v>44</v>
      </c>
      <c r="J9" t="s">
        <v>26</v>
      </c>
      <c r="K9" t="s">
        <v>59</v>
      </c>
      <c r="L9" t="s">
        <v>36</v>
      </c>
      <c r="M9" t="s">
        <v>29</v>
      </c>
      <c r="N9">
        <v>1</v>
      </c>
      <c r="O9" t="s">
        <v>30</v>
      </c>
      <c r="P9">
        <v>540</v>
      </c>
      <c r="Q9" t="s">
        <v>31</v>
      </c>
      <c r="R9" t="s">
        <v>60</v>
      </c>
      <c r="S9">
        <v>1029</v>
      </c>
      <c r="T9" t="s">
        <v>33</v>
      </c>
      <c r="U9" t="b">
        <v>0</v>
      </c>
    </row>
    <row r="10" spans="1:21">
      <c r="A10">
        <v>37</v>
      </c>
      <c r="B10">
        <v>1037</v>
      </c>
      <c r="C10" t="s">
        <v>61</v>
      </c>
      <c r="D10" t="s">
        <v>22</v>
      </c>
      <c r="E10">
        <v>57</v>
      </c>
      <c r="F10" t="s">
        <v>58</v>
      </c>
      <c r="G10" s="2">
        <v>44935</v>
      </c>
      <c r="H10" t="s">
        <v>24</v>
      </c>
      <c r="I10" t="s">
        <v>44</v>
      </c>
      <c r="J10" t="s">
        <v>62</v>
      </c>
      <c r="K10" t="s">
        <v>27</v>
      </c>
      <c r="L10" t="s">
        <v>28</v>
      </c>
      <c r="M10" t="s">
        <v>63</v>
      </c>
      <c r="N10">
        <v>1</v>
      </c>
      <c r="O10" t="s">
        <v>30</v>
      </c>
      <c r="P10">
        <v>541</v>
      </c>
      <c r="Q10" t="s">
        <v>31</v>
      </c>
      <c r="R10" t="s">
        <v>64</v>
      </c>
      <c r="S10">
        <v>1030</v>
      </c>
      <c r="T10" t="s">
        <v>33</v>
      </c>
      <c r="U10" t="b">
        <v>0</v>
      </c>
    </row>
    <row r="11" spans="1:21">
      <c r="A11">
        <v>38</v>
      </c>
      <c r="B11">
        <v>1038</v>
      </c>
      <c r="C11" t="s">
        <v>65</v>
      </c>
      <c r="D11" t="s">
        <v>22</v>
      </c>
      <c r="E11">
        <v>62</v>
      </c>
      <c r="F11" t="s">
        <v>58</v>
      </c>
      <c r="G11" s="2">
        <v>44936</v>
      </c>
      <c r="H11" t="s">
        <v>24</v>
      </c>
      <c r="I11" t="s">
        <v>44</v>
      </c>
      <c r="J11" t="s">
        <v>62</v>
      </c>
      <c r="K11" t="s">
        <v>35</v>
      </c>
      <c r="L11" t="s">
        <v>28</v>
      </c>
      <c r="M11" t="s">
        <v>63</v>
      </c>
      <c r="N11">
        <v>1</v>
      </c>
      <c r="O11" t="s">
        <v>30</v>
      </c>
      <c r="P11">
        <v>542</v>
      </c>
      <c r="Q11" t="s">
        <v>31</v>
      </c>
      <c r="R11" t="s">
        <v>66</v>
      </c>
      <c r="S11">
        <v>1031</v>
      </c>
      <c r="T11" t="s">
        <v>33</v>
      </c>
      <c r="U11" t="b">
        <v>0</v>
      </c>
    </row>
    <row r="12" spans="1:21">
      <c r="A12">
        <v>39</v>
      </c>
      <c r="B12">
        <v>1039</v>
      </c>
      <c r="C12" t="s">
        <v>67</v>
      </c>
      <c r="D12" t="s">
        <v>22</v>
      </c>
      <c r="E12">
        <v>67</v>
      </c>
      <c r="F12" t="s">
        <v>58</v>
      </c>
      <c r="G12" s="2">
        <v>44937</v>
      </c>
      <c r="H12" t="s">
        <v>24</v>
      </c>
      <c r="I12" t="s">
        <v>44</v>
      </c>
      <c r="J12" t="s">
        <v>62</v>
      </c>
      <c r="K12" t="s">
        <v>39</v>
      </c>
      <c r="L12" t="s">
        <v>28</v>
      </c>
      <c r="M12" t="s">
        <v>63</v>
      </c>
      <c r="N12">
        <v>1</v>
      </c>
      <c r="O12" t="s">
        <v>30</v>
      </c>
      <c r="P12">
        <v>543</v>
      </c>
      <c r="Q12" t="s">
        <v>68</v>
      </c>
      <c r="R12" t="s">
        <v>69</v>
      </c>
      <c r="S12">
        <v>1032</v>
      </c>
      <c r="T12" t="s">
        <v>33</v>
      </c>
      <c r="U12" t="b">
        <v>0</v>
      </c>
    </row>
    <row r="13" spans="1:21">
      <c r="A13">
        <v>40</v>
      </c>
      <c r="B13">
        <v>1040</v>
      </c>
      <c r="C13" t="s">
        <v>70</v>
      </c>
      <c r="D13" t="s">
        <v>22</v>
      </c>
      <c r="E13">
        <v>72</v>
      </c>
      <c r="F13" t="s">
        <v>58</v>
      </c>
      <c r="G13" s="2">
        <v>44938</v>
      </c>
      <c r="H13" t="s">
        <v>24</v>
      </c>
      <c r="I13" t="s">
        <v>44</v>
      </c>
      <c r="J13" t="s">
        <v>62</v>
      </c>
      <c r="K13" t="s">
        <v>45</v>
      </c>
      <c r="L13" t="s">
        <v>28</v>
      </c>
      <c r="M13" t="s">
        <v>63</v>
      </c>
      <c r="N13">
        <v>1</v>
      </c>
      <c r="O13" t="s">
        <v>30</v>
      </c>
      <c r="P13">
        <v>544</v>
      </c>
      <c r="Q13" t="s">
        <v>68</v>
      </c>
      <c r="R13" t="s">
        <v>71</v>
      </c>
      <c r="S13">
        <v>1033</v>
      </c>
      <c r="T13" t="s">
        <v>33</v>
      </c>
      <c r="U13" t="b">
        <v>0</v>
      </c>
    </row>
    <row r="14" spans="1:21">
      <c r="A14">
        <v>41</v>
      </c>
      <c r="B14">
        <v>1041</v>
      </c>
      <c r="C14" t="s">
        <v>72</v>
      </c>
      <c r="D14" t="s">
        <v>22</v>
      </c>
      <c r="E14">
        <v>77</v>
      </c>
      <c r="F14" t="s">
        <v>58</v>
      </c>
      <c r="G14" s="2">
        <v>44939</v>
      </c>
      <c r="H14" t="s">
        <v>24</v>
      </c>
      <c r="I14" t="s">
        <v>44</v>
      </c>
      <c r="J14" t="s">
        <v>62</v>
      </c>
      <c r="K14" t="s">
        <v>49</v>
      </c>
      <c r="L14" t="s">
        <v>28</v>
      </c>
      <c r="M14" t="s">
        <v>63</v>
      </c>
      <c r="N14">
        <v>1</v>
      </c>
      <c r="O14" t="s">
        <v>30</v>
      </c>
      <c r="P14">
        <v>545</v>
      </c>
      <c r="Q14" t="s">
        <v>68</v>
      </c>
      <c r="R14" t="s">
        <v>73</v>
      </c>
      <c r="S14">
        <v>1034</v>
      </c>
      <c r="T14" t="s">
        <v>33</v>
      </c>
      <c r="U14" t="b">
        <v>0</v>
      </c>
    </row>
    <row r="15" spans="1:21">
      <c r="A15">
        <v>42</v>
      </c>
      <c r="B15">
        <v>1042</v>
      </c>
      <c r="C15" t="s">
        <v>74</v>
      </c>
      <c r="D15" t="s">
        <v>22</v>
      </c>
      <c r="E15">
        <v>21</v>
      </c>
      <c r="F15" t="s">
        <v>23</v>
      </c>
      <c r="G15" s="2">
        <v>44940</v>
      </c>
      <c r="H15" t="s">
        <v>24</v>
      </c>
      <c r="I15" t="s">
        <v>44</v>
      </c>
      <c r="J15" t="s">
        <v>62</v>
      </c>
      <c r="K15" t="s">
        <v>52</v>
      </c>
      <c r="L15" t="s">
        <v>28</v>
      </c>
      <c r="M15" t="s">
        <v>63</v>
      </c>
      <c r="N15">
        <v>1</v>
      </c>
      <c r="O15" t="s">
        <v>30</v>
      </c>
      <c r="P15">
        <v>546</v>
      </c>
      <c r="Q15" t="s">
        <v>68</v>
      </c>
      <c r="R15" t="s">
        <v>75</v>
      </c>
      <c r="S15">
        <v>1035</v>
      </c>
      <c r="T15" t="s">
        <v>33</v>
      </c>
      <c r="U15" t="b">
        <v>0</v>
      </c>
    </row>
    <row r="16" spans="1:21">
      <c r="A16">
        <v>43</v>
      </c>
      <c r="B16">
        <v>1043</v>
      </c>
      <c r="C16" t="s">
        <v>76</v>
      </c>
      <c r="D16" t="s">
        <v>22</v>
      </c>
      <c r="E16">
        <v>26</v>
      </c>
      <c r="F16" t="s">
        <v>23</v>
      </c>
      <c r="G16" s="2">
        <v>44941</v>
      </c>
      <c r="H16" t="s">
        <v>24</v>
      </c>
      <c r="I16" t="s">
        <v>44</v>
      </c>
      <c r="J16" t="s">
        <v>62</v>
      </c>
      <c r="K16" t="s">
        <v>55</v>
      </c>
      <c r="L16" t="s">
        <v>28</v>
      </c>
      <c r="M16" t="s">
        <v>63</v>
      </c>
      <c r="N16">
        <v>1</v>
      </c>
      <c r="O16" t="s">
        <v>30</v>
      </c>
      <c r="P16">
        <v>547</v>
      </c>
      <c r="Q16" t="s">
        <v>68</v>
      </c>
      <c r="R16" t="s">
        <v>77</v>
      </c>
      <c r="S16">
        <v>1036</v>
      </c>
      <c r="T16" t="s">
        <v>33</v>
      </c>
      <c r="U16" t="b">
        <v>0</v>
      </c>
    </row>
    <row r="17" spans="1:21">
      <c r="A17">
        <v>44</v>
      </c>
      <c r="B17">
        <v>1044</v>
      </c>
      <c r="C17" t="s">
        <v>78</v>
      </c>
      <c r="D17" t="s">
        <v>22</v>
      </c>
      <c r="E17">
        <v>29</v>
      </c>
      <c r="F17" t="s">
        <v>23</v>
      </c>
      <c r="G17" s="2">
        <v>44942</v>
      </c>
      <c r="H17" t="s">
        <v>24</v>
      </c>
      <c r="I17" t="s">
        <v>44</v>
      </c>
      <c r="J17" t="s">
        <v>62</v>
      </c>
      <c r="K17" t="s">
        <v>59</v>
      </c>
      <c r="L17" t="s">
        <v>28</v>
      </c>
      <c r="M17" t="s">
        <v>63</v>
      </c>
      <c r="N17">
        <v>1</v>
      </c>
      <c r="O17" t="s">
        <v>30</v>
      </c>
      <c r="P17">
        <v>548</v>
      </c>
      <c r="Q17" t="s">
        <v>68</v>
      </c>
      <c r="R17" t="s">
        <v>79</v>
      </c>
      <c r="S17">
        <v>1037</v>
      </c>
      <c r="T17" t="s">
        <v>33</v>
      </c>
      <c r="U17" t="b">
        <v>0</v>
      </c>
    </row>
    <row r="18" spans="1:21">
      <c r="A18">
        <v>45</v>
      </c>
      <c r="B18">
        <v>1045</v>
      </c>
      <c r="C18" t="s">
        <v>80</v>
      </c>
      <c r="D18" t="s">
        <v>22</v>
      </c>
      <c r="E18">
        <v>34</v>
      </c>
      <c r="F18" t="s">
        <v>43</v>
      </c>
      <c r="G18" s="2">
        <v>44943</v>
      </c>
      <c r="H18" t="s">
        <v>24</v>
      </c>
      <c r="I18" t="s">
        <v>44</v>
      </c>
      <c r="J18" t="s">
        <v>62</v>
      </c>
      <c r="K18" t="s">
        <v>27</v>
      </c>
      <c r="L18" t="s">
        <v>28</v>
      </c>
      <c r="M18" t="s">
        <v>63</v>
      </c>
      <c r="N18">
        <v>1</v>
      </c>
      <c r="O18" t="s">
        <v>30</v>
      </c>
      <c r="P18">
        <v>549</v>
      </c>
      <c r="Q18" t="s">
        <v>68</v>
      </c>
      <c r="R18" t="s">
        <v>81</v>
      </c>
      <c r="S18">
        <v>1038</v>
      </c>
      <c r="T18" t="s">
        <v>33</v>
      </c>
      <c r="U18" t="b">
        <v>0</v>
      </c>
    </row>
    <row r="19" spans="1:21">
      <c r="A19">
        <v>46</v>
      </c>
      <c r="B19">
        <v>1046</v>
      </c>
      <c r="C19" t="s">
        <v>82</v>
      </c>
      <c r="D19" t="s">
        <v>22</v>
      </c>
      <c r="E19">
        <v>38</v>
      </c>
      <c r="F19" t="s">
        <v>43</v>
      </c>
      <c r="G19" s="2">
        <v>44944</v>
      </c>
      <c r="H19" t="s">
        <v>24</v>
      </c>
      <c r="I19" t="s">
        <v>44</v>
      </c>
      <c r="J19" t="s">
        <v>62</v>
      </c>
      <c r="K19" t="s">
        <v>35</v>
      </c>
      <c r="L19" t="s">
        <v>28</v>
      </c>
      <c r="M19" t="s">
        <v>63</v>
      </c>
      <c r="N19">
        <v>1</v>
      </c>
      <c r="O19" t="s">
        <v>30</v>
      </c>
      <c r="P19">
        <v>550</v>
      </c>
      <c r="Q19" t="s">
        <v>68</v>
      </c>
      <c r="R19" t="s">
        <v>83</v>
      </c>
      <c r="S19">
        <v>1039</v>
      </c>
      <c r="T19" t="s">
        <v>33</v>
      </c>
      <c r="U19" t="b">
        <v>0</v>
      </c>
    </row>
    <row r="20" spans="1:21">
      <c r="A20">
        <v>47</v>
      </c>
      <c r="B20">
        <v>1047</v>
      </c>
      <c r="C20" t="s">
        <v>84</v>
      </c>
      <c r="D20" t="s">
        <v>22</v>
      </c>
      <c r="E20">
        <v>43</v>
      </c>
      <c r="F20" t="s">
        <v>43</v>
      </c>
      <c r="G20" s="2">
        <v>44945</v>
      </c>
      <c r="H20" t="s">
        <v>24</v>
      </c>
      <c r="I20" t="s">
        <v>44</v>
      </c>
      <c r="J20" t="s">
        <v>62</v>
      </c>
      <c r="K20" t="s">
        <v>39</v>
      </c>
      <c r="L20" t="s">
        <v>28</v>
      </c>
      <c r="M20" t="s">
        <v>63</v>
      </c>
      <c r="N20">
        <v>1</v>
      </c>
      <c r="O20" t="s">
        <v>30</v>
      </c>
      <c r="P20">
        <v>551</v>
      </c>
      <c r="Q20" t="s">
        <v>68</v>
      </c>
      <c r="R20" t="s">
        <v>85</v>
      </c>
      <c r="S20">
        <v>1040</v>
      </c>
      <c r="T20" t="s">
        <v>33</v>
      </c>
      <c r="U20" t="b">
        <v>0</v>
      </c>
    </row>
    <row r="21" spans="1:21">
      <c r="A21">
        <v>48</v>
      </c>
      <c r="B21">
        <v>1048</v>
      </c>
      <c r="C21" t="s">
        <v>86</v>
      </c>
      <c r="D21" t="s">
        <v>22</v>
      </c>
      <c r="E21">
        <v>48</v>
      </c>
      <c r="F21" t="s">
        <v>43</v>
      </c>
      <c r="G21" s="2">
        <v>44946</v>
      </c>
      <c r="H21" t="s">
        <v>24</v>
      </c>
      <c r="I21" t="s">
        <v>44</v>
      </c>
      <c r="J21" t="s">
        <v>62</v>
      </c>
      <c r="K21" t="s">
        <v>45</v>
      </c>
      <c r="L21" t="s">
        <v>28</v>
      </c>
      <c r="M21" t="s">
        <v>63</v>
      </c>
      <c r="N21">
        <v>1</v>
      </c>
      <c r="O21" t="s">
        <v>30</v>
      </c>
      <c r="P21">
        <v>552</v>
      </c>
      <c r="Q21" t="s">
        <v>68</v>
      </c>
      <c r="R21" t="s">
        <v>87</v>
      </c>
      <c r="S21">
        <v>1041</v>
      </c>
      <c r="T21" t="s">
        <v>33</v>
      </c>
      <c r="U21" t="b">
        <v>0</v>
      </c>
    </row>
    <row r="22" spans="1:21">
      <c r="A22">
        <v>49</v>
      </c>
      <c r="B22">
        <v>1049</v>
      </c>
      <c r="C22" t="s">
        <v>88</v>
      </c>
      <c r="D22" t="s">
        <v>22</v>
      </c>
      <c r="E22">
        <v>53</v>
      </c>
      <c r="F22" t="s">
        <v>58</v>
      </c>
      <c r="G22" s="2">
        <v>44947</v>
      </c>
      <c r="H22" t="s">
        <v>24</v>
      </c>
      <c r="I22" t="s">
        <v>44</v>
      </c>
      <c r="J22" t="s">
        <v>62</v>
      </c>
      <c r="K22" t="s">
        <v>49</v>
      </c>
      <c r="L22" t="s">
        <v>28</v>
      </c>
      <c r="M22" t="s">
        <v>63</v>
      </c>
      <c r="N22">
        <v>1</v>
      </c>
      <c r="O22" t="s">
        <v>30</v>
      </c>
      <c r="P22">
        <v>553</v>
      </c>
      <c r="Q22" t="s">
        <v>68</v>
      </c>
      <c r="R22" t="s">
        <v>89</v>
      </c>
      <c r="S22">
        <v>1042</v>
      </c>
      <c r="T22" t="s">
        <v>33</v>
      </c>
      <c r="U22" t="b">
        <v>0</v>
      </c>
    </row>
    <row r="23" spans="1:21">
      <c r="A23">
        <v>50</v>
      </c>
      <c r="B23">
        <v>1050</v>
      </c>
      <c r="C23" t="s">
        <v>90</v>
      </c>
      <c r="D23" t="s">
        <v>22</v>
      </c>
      <c r="E23">
        <v>58</v>
      </c>
      <c r="F23" t="s">
        <v>58</v>
      </c>
      <c r="G23" s="2">
        <v>44948</v>
      </c>
      <c r="H23" t="s">
        <v>24</v>
      </c>
      <c r="I23" t="s">
        <v>44</v>
      </c>
      <c r="J23" t="s">
        <v>62</v>
      </c>
      <c r="K23" t="s">
        <v>52</v>
      </c>
      <c r="L23" t="s">
        <v>28</v>
      </c>
      <c r="M23" t="s">
        <v>63</v>
      </c>
      <c r="N23">
        <v>1</v>
      </c>
      <c r="O23" t="s">
        <v>30</v>
      </c>
      <c r="P23">
        <v>554</v>
      </c>
      <c r="Q23" t="s">
        <v>68</v>
      </c>
      <c r="R23" t="s">
        <v>91</v>
      </c>
      <c r="S23">
        <v>1043</v>
      </c>
      <c r="T23" t="s">
        <v>33</v>
      </c>
      <c r="U23" t="b">
        <v>0</v>
      </c>
    </row>
    <row r="24" spans="1:21">
      <c r="A24">
        <v>51</v>
      </c>
      <c r="B24">
        <v>1051</v>
      </c>
      <c r="C24" t="s">
        <v>92</v>
      </c>
      <c r="D24" t="s">
        <v>22</v>
      </c>
      <c r="E24">
        <v>63</v>
      </c>
      <c r="F24" t="s">
        <v>58</v>
      </c>
      <c r="G24" s="2">
        <v>44949</v>
      </c>
      <c r="H24" t="s">
        <v>24</v>
      </c>
      <c r="I24" t="s">
        <v>44</v>
      </c>
      <c r="J24" t="s">
        <v>62</v>
      </c>
      <c r="K24" t="s">
        <v>55</v>
      </c>
      <c r="L24" t="s">
        <v>28</v>
      </c>
      <c r="M24" t="s">
        <v>63</v>
      </c>
      <c r="N24">
        <v>1</v>
      </c>
      <c r="O24" t="s">
        <v>30</v>
      </c>
      <c r="P24">
        <v>555</v>
      </c>
      <c r="Q24" t="s">
        <v>68</v>
      </c>
      <c r="R24" t="s">
        <v>93</v>
      </c>
      <c r="S24">
        <v>1044</v>
      </c>
      <c r="T24" t="s">
        <v>33</v>
      </c>
      <c r="U24" t="b">
        <v>0</v>
      </c>
    </row>
    <row r="25" spans="1:21">
      <c r="A25">
        <v>52</v>
      </c>
      <c r="B25">
        <v>1052</v>
      </c>
      <c r="C25" t="s">
        <v>94</v>
      </c>
      <c r="D25" t="s">
        <v>22</v>
      </c>
      <c r="E25">
        <v>68</v>
      </c>
      <c r="F25" t="s">
        <v>58</v>
      </c>
      <c r="G25" s="2">
        <v>44950</v>
      </c>
      <c r="H25" t="s">
        <v>24</v>
      </c>
      <c r="I25" t="s">
        <v>44</v>
      </c>
      <c r="J25" t="s">
        <v>62</v>
      </c>
      <c r="K25" t="s">
        <v>59</v>
      </c>
      <c r="L25" t="s">
        <v>28</v>
      </c>
      <c r="M25" t="s">
        <v>63</v>
      </c>
      <c r="N25">
        <v>1</v>
      </c>
      <c r="O25" t="s">
        <v>30</v>
      </c>
      <c r="P25">
        <v>556</v>
      </c>
      <c r="Q25" t="s">
        <v>68</v>
      </c>
      <c r="R25" t="s">
        <v>95</v>
      </c>
      <c r="S25">
        <v>1045</v>
      </c>
      <c r="T25" t="s">
        <v>33</v>
      </c>
      <c r="U25" t="b">
        <v>0</v>
      </c>
    </row>
    <row r="26" spans="1:21">
      <c r="A26">
        <v>53</v>
      </c>
      <c r="B26">
        <v>1053</v>
      </c>
      <c r="C26" t="s">
        <v>96</v>
      </c>
      <c r="D26" t="s">
        <v>22</v>
      </c>
      <c r="E26">
        <v>73</v>
      </c>
      <c r="F26" t="s">
        <v>58</v>
      </c>
      <c r="G26" s="2">
        <v>44951</v>
      </c>
      <c r="H26" t="s">
        <v>24</v>
      </c>
      <c r="I26" t="s">
        <v>44</v>
      </c>
      <c r="J26" t="s">
        <v>62</v>
      </c>
      <c r="K26" t="s">
        <v>27</v>
      </c>
      <c r="L26" t="s">
        <v>28</v>
      </c>
      <c r="M26" t="s">
        <v>63</v>
      </c>
      <c r="N26">
        <v>1</v>
      </c>
      <c r="O26" t="s">
        <v>30</v>
      </c>
      <c r="P26">
        <v>557</v>
      </c>
      <c r="Q26" t="s">
        <v>68</v>
      </c>
      <c r="R26" t="s">
        <v>97</v>
      </c>
      <c r="S26">
        <v>1046</v>
      </c>
      <c r="T26" t="s">
        <v>33</v>
      </c>
      <c r="U26" t="b">
        <v>0</v>
      </c>
    </row>
    <row r="27" spans="1:21">
      <c r="A27">
        <v>54</v>
      </c>
      <c r="B27">
        <v>1054</v>
      </c>
      <c r="C27" t="s">
        <v>98</v>
      </c>
      <c r="D27" t="s">
        <v>22</v>
      </c>
      <c r="E27">
        <v>78</v>
      </c>
      <c r="F27" t="s">
        <v>58</v>
      </c>
      <c r="G27" s="2">
        <v>44952</v>
      </c>
      <c r="H27" t="s">
        <v>24</v>
      </c>
      <c r="I27" t="s">
        <v>44</v>
      </c>
      <c r="J27" t="s">
        <v>62</v>
      </c>
      <c r="K27" t="s">
        <v>35</v>
      </c>
      <c r="L27" t="s">
        <v>28</v>
      </c>
      <c r="M27" t="s">
        <v>63</v>
      </c>
      <c r="N27">
        <v>1</v>
      </c>
      <c r="O27" t="s">
        <v>30</v>
      </c>
      <c r="P27">
        <v>558</v>
      </c>
      <c r="Q27" t="s">
        <v>68</v>
      </c>
      <c r="R27" t="s">
        <v>99</v>
      </c>
      <c r="S27">
        <v>1047</v>
      </c>
      <c r="T27" t="s">
        <v>33</v>
      </c>
      <c r="U27" t="b">
        <v>0</v>
      </c>
    </row>
    <row r="28" spans="1:21">
      <c r="A28">
        <v>55</v>
      </c>
      <c r="B28">
        <v>1055</v>
      </c>
      <c r="C28" t="s">
        <v>100</v>
      </c>
      <c r="D28" t="s">
        <v>22</v>
      </c>
      <c r="E28">
        <v>31</v>
      </c>
      <c r="F28" t="s">
        <v>43</v>
      </c>
      <c r="G28" s="2">
        <v>44953</v>
      </c>
      <c r="H28" t="s">
        <v>24</v>
      </c>
      <c r="I28" t="s">
        <v>44</v>
      </c>
      <c r="J28" t="s">
        <v>62</v>
      </c>
      <c r="K28" t="s">
        <v>39</v>
      </c>
      <c r="L28" t="s">
        <v>28</v>
      </c>
      <c r="M28" t="s">
        <v>63</v>
      </c>
      <c r="N28">
        <v>1</v>
      </c>
      <c r="O28" t="s">
        <v>30</v>
      </c>
      <c r="P28">
        <v>559</v>
      </c>
      <c r="Q28" t="s">
        <v>68</v>
      </c>
      <c r="R28" t="s">
        <v>101</v>
      </c>
      <c r="S28">
        <v>1048</v>
      </c>
      <c r="T28" t="s">
        <v>33</v>
      </c>
      <c r="U28" t="b">
        <v>0</v>
      </c>
    </row>
    <row r="29" spans="1:21">
      <c r="A29">
        <v>56</v>
      </c>
      <c r="B29">
        <v>1056</v>
      </c>
      <c r="C29" t="s">
        <v>102</v>
      </c>
      <c r="D29" t="s">
        <v>22</v>
      </c>
      <c r="E29">
        <v>36</v>
      </c>
      <c r="F29" t="s">
        <v>43</v>
      </c>
      <c r="G29" s="2">
        <v>44954</v>
      </c>
      <c r="H29" t="s">
        <v>24</v>
      </c>
      <c r="I29" t="s">
        <v>44</v>
      </c>
      <c r="J29" t="s">
        <v>62</v>
      </c>
      <c r="K29" t="s">
        <v>45</v>
      </c>
      <c r="L29" t="s">
        <v>36</v>
      </c>
      <c r="M29" t="s">
        <v>63</v>
      </c>
      <c r="N29">
        <v>1</v>
      </c>
      <c r="O29" t="s">
        <v>30</v>
      </c>
      <c r="P29">
        <v>560</v>
      </c>
      <c r="Q29" t="s">
        <v>68</v>
      </c>
      <c r="R29" t="s">
        <v>103</v>
      </c>
      <c r="S29">
        <v>1049</v>
      </c>
      <c r="T29" t="s">
        <v>33</v>
      </c>
      <c r="U29" t="b">
        <v>0</v>
      </c>
    </row>
    <row r="30" spans="1:21">
      <c r="A30">
        <v>57</v>
      </c>
      <c r="B30">
        <v>1057</v>
      </c>
      <c r="C30" t="s">
        <v>104</v>
      </c>
      <c r="D30" t="s">
        <v>22</v>
      </c>
      <c r="E30">
        <v>41</v>
      </c>
      <c r="F30" t="s">
        <v>43</v>
      </c>
      <c r="G30" s="2">
        <v>44955</v>
      </c>
      <c r="H30" t="s">
        <v>24</v>
      </c>
      <c r="I30" t="s">
        <v>44</v>
      </c>
      <c r="J30" t="s">
        <v>62</v>
      </c>
      <c r="K30" t="s">
        <v>49</v>
      </c>
      <c r="L30" t="s">
        <v>105</v>
      </c>
      <c r="M30" t="s">
        <v>63</v>
      </c>
      <c r="N30">
        <v>1</v>
      </c>
      <c r="O30" t="s">
        <v>30</v>
      </c>
      <c r="P30">
        <v>667</v>
      </c>
      <c r="Q30" t="s">
        <v>68</v>
      </c>
      <c r="R30" t="s">
        <v>32</v>
      </c>
      <c r="S30">
        <v>1050</v>
      </c>
      <c r="T30" t="s">
        <v>33</v>
      </c>
      <c r="U30" t="b">
        <v>0</v>
      </c>
    </row>
    <row r="31" spans="1:21">
      <c r="A31">
        <v>58</v>
      </c>
      <c r="B31">
        <v>1058</v>
      </c>
      <c r="C31" t="s">
        <v>106</v>
      </c>
      <c r="D31" t="s">
        <v>22</v>
      </c>
      <c r="E31">
        <v>46</v>
      </c>
      <c r="F31" t="s">
        <v>43</v>
      </c>
      <c r="G31" s="2">
        <v>44956</v>
      </c>
      <c r="H31" t="s">
        <v>24</v>
      </c>
      <c r="I31" t="s">
        <v>44</v>
      </c>
      <c r="J31" t="s">
        <v>62</v>
      </c>
      <c r="K31" t="s">
        <v>52</v>
      </c>
      <c r="L31" t="s">
        <v>105</v>
      </c>
      <c r="M31" t="s">
        <v>63</v>
      </c>
      <c r="N31">
        <v>1</v>
      </c>
      <c r="O31" t="s">
        <v>30</v>
      </c>
      <c r="P31">
        <v>876</v>
      </c>
      <c r="Q31" t="s">
        <v>68</v>
      </c>
      <c r="R31" t="s">
        <v>37</v>
      </c>
      <c r="S31">
        <v>1051</v>
      </c>
      <c r="T31" t="s">
        <v>33</v>
      </c>
      <c r="U31" t="b">
        <v>0</v>
      </c>
    </row>
    <row r="32" spans="1:21">
      <c r="A32">
        <v>59</v>
      </c>
      <c r="B32">
        <v>1059</v>
      </c>
      <c r="C32" t="s">
        <v>107</v>
      </c>
      <c r="D32" t="s">
        <v>22</v>
      </c>
      <c r="E32">
        <v>51</v>
      </c>
      <c r="F32" t="s">
        <v>58</v>
      </c>
      <c r="G32" s="2">
        <v>44957</v>
      </c>
      <c r="H32" t="s">
        <v>24</v>
      </c>
      <c r="I32" t="s">
        <v>44</v>
      </c>
      <c r="J32" t="s">
        <v>62</v>
      </c>
      <c r="K32" t="s">
        <v>55</v>
      </c>
      <c r="L32" t="s">
        <v>105</v>
      </c>
      <c r="M32" t="s">
        <v>63</v>
      </c>
      <c r="N32">
        <v>1</v>
      </c>
      <c r="O32" t="s">
        <v>30</v>
      </c>
      <c r="P32">
        <v>900</v>
      </c>
      <c r="Q32" t="s">
        <v>68</v>
      </c>
      <c r="R32" t="s">
        <v>41</v>
      </c>
      <c r="S32">
        <v>1052</v>
      </c>
      <c r="T32" t="s">
        <v>33</v>
      </c>
      <c r="U32" t="b">
        <v>0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0"/>
  <sheetViews>
    <sheetView tabSelected="1" topLeftCell="A2" workbookViewId="0">
      <selection activeCell="C20" sqref="C20"/>
    </sheetView>
  </sheetViews>
  <sheetFormatPr defaultColWidth="9.14285714285714" defaultRowHeight="15" outlineLevelCol="2"/>
  <cols>
    <col min="1" max="1" width="12.1428571428571"/>
    <col min="2" max="3" width="16.1428571428571"/>
  </cols>
  <sheetData>
    <row r="3" spans="1:3">
      <c r="A3" t="s">
        <v>7</v>
      </c>
      <c r="B3" t="s">
        <v>108</v>
      </c>
      <c r="C3" t="s">
        <v>109</v>
      </c>
    </row>
    <row r="4" spans="1:3">
      <c r="A4" t="s">
        <v>24</v>
      </c>
      <c r="B4">
        <v>32364</v>
      </c>
      <c r="C4">
        <v>18284</v>
      </c>
    </row>
    <row r="5" spans="1:3">
      <c r="A5" t="s">
        <v>110</v>
      </c>
      <c r="B5">
        <v>30058</v>
      </c>
      <c r="C5">
        <v>11210</v>
      </c>
    </row>
    <row r="6" spans="1:3">
      <c r="A6" t="s">
        <v>111</v>
      </c>
      <c r="B6">
        <v>34193</v>
      </c>
      <c r="C6">
        <v>11811</v>
      </c>
    </row>
    <row r="7" spans="1:3">
      <c r="A7" t="s">
        <v>112</v>
      </c>
      <c r="B7">
        <v>20295</v>
      </c>
      <c r="C7">
        <v>7299</v>
      </c>
    </row>
    <row r="8" spans="1:3">
      <c r="A8" t="s">
        <v>113</v>
      </c>
      <c r="B8">
        <v>28406</v>
      </c>
      <c r="C8">
        <v>18346</v>
      </c>
    </row>
    <row r="9" spans="1:3">
      <c r="A9" t="s">
        <v>114</v>
      </c>
    </row>
    <row r="10" spans="1:3">
      <c r="A10" t="s">
        <v>115</v>
      </c>
      <c r="B10">
        <v>145316</v>
      </c>
      <c r="C10">
        <v>66950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B15" sqref="B15"/>
    </sheetView>
  </sheetViews>
  <sheetFormatPr defaultColWidth="9.14285714285714" defaultRowHeight="15" outlineLevelRow="5" outlineLevelCol="1"/>
  <cols>
    <col min="1" max="1" width="12.1428571428571"/>
    <col min="2" max="2" width="20"/>
  </cols>
  <sheetData>
    <row r="3" spans="1:2">
      <c r="A3" t="s">
        <v>3</v>
      </c>
      <c r="B3" t="s">
        <v>116</v>
      </c>
    </row>
    <row r="4" spans="1:2">
      <c r="A4" t="s">
        <v>22</v>
      </c>
      <c r="B4">
        <v>1075.4262295082</v>
      </c>
    </row>
    <row r="5" spans="1:2">
      <c r="A5" t="s">
        <v>117</v>
      </c>
      <c r="B5">
        <v>1008.14285714286</v>
      </c>
    </row>
    <row r="6" spans="1:2">
      <c r="A6" t="s">
        <v>115</v>
      </c>
      <c r="B6">
        <v>1068.5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5"/>
  <sheetViews>
    <sheetView topLeftCell="A43" workbookViewId="0">
      <selection activeCell="M1" sqref="M1"/>
    </sheetView>
  </sheetViews>
  <sheetFormatPr defaultColWidth="9.14285714285714" defaultRowHeight="15"/>
  <cols>
    <col min="2" max="2" width="11.2857142857143" customWidth="1"/>
    <col min="3" max="3" width="11.5714285714286" customWidth="1"/>
    <col min="4" max="4" width="14.7142857142857" customWidth="1"/>
    <col min="6" max="6" width="13.5714285714286" customWidth="1"/>
    <col min="7" max="7" width="12.2857142857143" customWidth="1"/>
    <col min="8" max="8" width="13.2857142857143" customWidth="1"/>
    <col min="11" max="11" width="15.2857142857143" customWidth="1"/>
    <col min="13" max="13" width="13.5714285714286" customWidth="1"/>
    <col min="16" max="16" width="12.8571428571429"/>
    <col min="17" max="17" width="14.5714285714286" customWidth="1"/>
    <col min="18" max="18" width="16.8571428571429" customWidth="1"/>
    <col min="19" max="19" width="15.5714285714286" customWidth="1"/>
    <col min="20" max="20" width="10.7142857142857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>
        <v>1001</v>
      </c>
      <c r="C2" t="s">
        <v>118</v>
      </c>
      <c r="D2" t="s">
        <v>117</v>
      </c>
      <c r="E2">
        <v>17</v>
      </c>
      <c r="F2" t="str">
        <f>IF(E2&gt;=50,"Senior ",IF(E2&gt;30,"Adult","teen"))</f>
        <v>teen</v>
      </c>
      <c r="G2" s="2">
        <v>44899</v>
      </c>
      <c r="H2" t="str">
        <f>TEXT(G2,"mmmm")</f>
        <v>December</v>
      </c>
      <c r="I2" t="s">
        <v>119</v>
      </c>
      <c r="J2" t="s">
        <v>62</v>
      </c>
      <c r="K2" t="s">
        <v>49</v>
      </c>
      <c r="L2" t="s">
        <v>105</v>
      </c>
      <c r="M2" t="s">
        <v>63</v>
      </c>
      <c r="N2">
        <v>1</v>
      </c>
      <c r="O2" t="s">
        <v>30</v>
      </c>
      <c r="P2">
        <v>376</v>
      </c>
      <c r="Q2" t="s">
        <v>120</v>
      </c>
      <c r="R2" t="s">
        <v>32</v>
      </c>
      <c r="S2">
        <v>1213</v>
      </c>
      <c r="T2" t="s">
        <v>33</v>
      </c>
      <c r="U2" t="b">
        <v>0</v>
      </c>
    </row>
    <row r="3" spans="1:21">
      <c r="A3">
        <v>2</v>
      </c>
      <c r="B3">
        <v>1002</v>
      </c>
      <c r="C3" t="s">
        <v>121</v>
      </c>
      <c r="D3" t="s">
        <v>117</v>
      </c>
      <c r="E3">
        <v>18</v>
      </c>
      <c r="F3" t="str">
        <f t="shared" ref="F3:F34" si="0">IF(E3&gt;=50,"Senior ",IF(E3&gt;30,"Adult","teen"))</f>
        <v>teen</v>
      </c>
      <c r="G3" s="2">
        <v>44900</v>
      </c>
      <c r="H3" t="str">
        <f t="shared" ref="H3:H34" si="1">TEXT(G3,"mmmm")</f>
        <v>December</v>
      </c>
      <c r="I3" t="s">
        <v>119</v>
      </c>
      <c r="J3" t="s">
        <v>26</v>
      </c>
      <c r="K3" t="s">
        <v>52</v>
      </c>
      <c r="L3" t="s">
        <v>28</v>
      </c>
      <c r="M3" t="s">
        <v>29</v>
      </c>
      <c r="N3">
        <v>1</v>
      </c>
      <c r="O3" t="s">
        <v>30</v>
      </c>
      <c r="P3">
        <v>1449</v>
      </c>
      <c r="Q3" t="s">
        <v>122</v>
      </c>
      <c r="R3" t="s">
        <v>37</v>
      </c>
      <c r="S3">
        <v>2345</v>
      </c>
      <c r="T3" t="s">
        <v>33</v>
      </c>
      <c r="U3" t="b">
        <v>0</v>
      </c>
    </row>
    <row r="4" spans="1:21">
      <c r="A4">
        <v>3</v>
      </c>
      <c r="B4">
        <v>1003</v>
      </c>
      <c r="C4" t="s">
        <v>123</v>
      </c>
      <c r="D4" t="s">
        <v>117</v>
      </c>
      <c r="E4">
        <v>22</v>
      </c>
      <c r="F4" t="str">
        <f t="shared" si="0"/>
        <v>teen</v>
      </c>
      <c r="G4" s="2">
        <v>44901</v>
      </c>
      <c r="H4" t="str">
        <f t="shared" si="1"/>
        <v>December</v>
      </c>
      <c r="I4" t="s">
        <v>119</v>
      </c>
      <c r="J4" t="s">
        <v>62</v>
      </c>
      <c r="K4" t="s">
        <v>55</v>
      </c>
      <c r="L4" t="s">
        <v>40</v>
      </c>
      <c r="M4" t="s">
        <v>29</v>
      </c>
      <c r="N4">
        <v>1</v>
      </c>
      <c r="O4" t="s">
        <v>30</v>
      </c>
      <c r="P4">
        <v>453</v>
      </c>
      <c r="Q4" t="s">
        <v>124</v>
      </c>
      <c r="R4" t="s">
        <v>41</v>
      </c>
      <c r="S4">
        <v>1546</v>
      </c>
      <c r="T4" t="s">
        <v>33</v>
      </c>
      <c r="U4" t="b">
        <v>0</v>
      </c>
    </row>
    <row r="5" spans="1:21">
      <c r="A5">
        <v>4</v>
      </c>
      <c r="B5">
        <v>1004</v>
      </c>
      <c r="C5" t="s">
        <v>125</v>
      </c>
      <c r="D5" t="s">
        <v>117</v>
      </c>
      <c r="E5">
        <v>25</v>
      </c>
      <c r="F5" t="str">
        <f t="shared" si="0"/>
        <v>teen</v>
      </c>
      <c r="G5" s="2">
        <v>44902</v>
      </c>
      <c r="H5" t="str">
        <f t="shared" si="1"/>
        <v>December</v>
      </c>
      <c r="I5" t="s">
        <v>119</v>
      </c>
      <c r="J5" t="s">
        <v>126</v>
      </c>
      <c r="K5" t="s">
        <v>59</v>
      </c>
      <c r="L5" t="s">
        <v>127</v>
      </c>
      <c r="M5" t="s">
        <v>29</v>
      </c>
      <c r="N5">
        <v>1</v>
      </c>
      <c r="O5" t="s">
        <v>30</v>
      </c>
      <c r="P5">
        <v>385</v>
      </c>
      <c r="Q5" t="s">
        <v>128</v>
      </c>
      <c r="R5" t="s">
        <v>47</v>
      </c>
      <c r="S5">
        <v>1289</v>
      </c>
      <c r="T5" t="s">
        <v>33</v>
      </c>
      <c r="U5" t="b">
        <v>0</v>
      </c>
    </row>
    <row r="6" spans="1:21">
      <c r="A6">
        <v>5</v>
      </c>
      <c r="B6">
        <v>1005</v>
      </c>
      <c r="C6" t="s">
        <v>129</v>
      </c>
      <c r="D6" t="s">
        <v>117</v>
      </c>
      <c r="E6">
        <v>30</v>
      </c>
      <c r="F6" t="str">
        <f t="shared" si="0"/>
        <v>teen</v>
      </c>
      <c r="G6" s="2">
        <v>44903</v>
      </c>
      <c r="H6" t="str">
        <f t="shared" si="1"/>
        <v>December</v>
      </c>
      <c r="I6" t="s">
        <v>119</v>
      </c>
      <c r="J6" t="s">
        <v>126</v>
      </c>
      <c r="K6" t="s">
        <v>27</v>
      </c>
      <c r="L6" t="s">
        <v>36</v>
      </c>
      <c r="M6" t="s">
        <v>29</v>
      </c>
      <c r="N6">
        <v>1</v>
      </c>
      <c r="O6" t="s">
        <v>30</v>
      </c>
      <c r="P6">
        <v>517</v>
      </c>
      <c r="Q6" t="s">
        <v>130</v>
      </c>
      <c r="R6" t="s">
        <v>50</v>
      </c>
      <c r="S6">
        <v>2345</v>
      </c>
      <c r="T6" t="s">
        <v>33</v>
      </c>
      <c r="U6" t="b">
        <v>0</v>
      </c>
    </row>
    <row r="7" spans="1:21">
      <c r="A7">
        <v>6</v>
      </c>
      <c r="B7">
        <v>1006</v>
      </c>
      <c r="C7" t="s">
        <v>131</v>
      </c>
      <c r="D7" t="s">
        <v>22</v>
      </c>
      <c r="E7">
        <v>35</v>
      </c>
      <c r="F7" t="str">
        <f t="shared" si="0"/>
        <v>Adult</v>
      </c>
      <c r="G7" s="2">
        <v>44904</v>
      </c>
      <c r="H7" t="str">
        <f t="shared" si="1"/>
        <v>December</v>
      </c>
      <c r="I7" t="s">
        <v>119</v>
      </c>
      <c r="J7" t="s">
        <v>126</v>
      </c>
      <c r="K7" t="s">
        <v>35</v>
      </c>
      <c r="L7" t="s">
        <v>46</v>
      </c>
      <c r="M7" t="s">
        <v>29</v>
      </c>
      <c r="N7">
        <v>1</v>
      </c>
      <c r="O7" t="s">
        <v>30</v>
      </c>
      <c r="P7">
        <v>786</v>
      </c>
      <c r="Q7" t="s">
        <v>132</v>
      </c>
      <c r="R7" t="s">
        <v>53</v>
      </c>
      <c r="S7">
        <v>1020</v>
      </c>
      <c r="T7" t="s">
        <v>33</v>
      </c>
      <c r="U7" t="b">
        <v>0</v>
      </c>
    </row>
    <row r="8" spans="1:21">
      <c r="A8">
        <v>7</v>
      </c>
      <c r="B8">
        <v>1007</v>
      </c>
      <c r="C8" t="s">
        <v>133</v>
      </c>
      <c r="D8" t="s">
        <v>117</v>
      </c>
      <c r="E8">
        <v>40</v>
      </c>
      <c r="F8" t="str">
        <f t="shared" si="0"/>
        <v>Adult</v>
      </c>
      <c r="G8" s="2">
        <v>44905</v>
      </c>
      <c r="H8" t="str">
        <f t="shared" si="1"/>
        <v>December</v>
      </c>
      <c r="I8" t="s">
        <v>119</v>
      </c>
      <c r="J8" t="s">
        <v>126</v>
      </c>
      <c r="K8" t="s">
        <v>39</v>
      </c>
      <c r="L8" t="s">
        <v>105</v>
      </c>
      <c r="M8" t="s">
        <v>134</v>
      </c>
      <c r="N8">
        <v>1</v>
      </c>
      <c r="O8" t="s">
        <v>30</v>
      </c>
      <c r="P8">
        <v>911</v>
      </c>
      <c r="Q8" t="s">
        <v>68</v>
      </c>
      <c r="R8" t="s">
        <v>56</v>
      </c>
      <c r="S8">
        <v>1045</v>
      </c>
      <c r="T8" t="s">
        <v>33</v>
      </c>
      <c r="U8" t="b">
        <v>0</v>
      </c>
    </row>
    <row r="9" spans="1:21">
      <c r="A9">
        <v>8</v>
      </c>
      <c r="B9">
        <v>1008</v>
      </c>
      <c r="C9" t="s">
        <v>135</v>
      </c>
      <c r="D9" t="s">
        <v>117</v>
      </c>
      <c r="E9">
        <v>45</v>
      </c>
      <c r="F9" t="str">
        <f t="shared" si="0"/>
        <v>Adult</v>
      </c>
      <c r="G9" s="2">
        <v>44906</v>
      </c>
      <c r="H9" t="str">
        <f t="shared" si="1"/>
        <v>December</v>
      </c>
      <c r="I9" t="s">
        <v>119</v>
      </c>
      <c r="J9" t="s">
        <v>126</v>
      </c>
      <c r="K9" t="s">
        <v>45</v>
      </c>
      <c r="L9" t="s">
        <v>105</v>
      </c>
      <c r="M9" t="s">
        <v>63</v>
      </c>
      <c r="N9">
        <v>1</v>
      </c>
      <c r="O9" t="s">
        <v>30</v>
      </c>
      <c r="P9">
        <v>967</v>
      </c>
      <c r="Q9" t="s">
        <v>31</v>
      </c>
      <c r="R9" t="s">
        <v>60</v>
      </c>
      <c r="S9">
        <v>1001</v>
      </c>
      <c r="T9" t="s">
        <v>33</v>
      </c>
      <c r="U9" t="b">
        <v>0</v>
      </c>
    </row>
    <row r="10" spans="1:21">
      <c r="A10">
        <v>9</v>
      </c>
      <c r="B10">
        <v>1009</v>
      </c>
      <c r="C10" t="s">
        <v>136</v>
      </c>
      <c r="D10" t="s">
        <v>117</v>
      </c>
      <c r="E10">
        <v>50</v>
      </c>
      <c r="F10" t="str">
        <f t="shared" si="0"/>
        <v>Senior </v>
      </c>
      <c r="G10" s="2">
        <v>44907</v>
      </c>
      <c r="H10" t="str">
        <f t="shared" si="1"/>
        <v>December</v>
      </c>
      <c r="I10" t="s">
        <v>119</v>
      </c>
      <c r="J10" t="s">
        <v>126</v>
      </c>
      <c r="K10" t="s">
        <v>49</v>
      </c>
      <c r="L10" t="s">
        <v>36</v>
      </c>
      <c r="M10" t="s">
        <v>63</v>
      </c>
      <c r="N10">
        <v>1</v>
      </c>
      <c r="O10" t="s">
        <v>30</v>
      </c>
      <c r="P10">
        <v>467</v>
      </c>
      <c r="Q10" t="s">
        <v>31</v>
      </c>
      <c r="R10" t="s">
        <v>64</v>
      </c>
      <c r="S10">
        <v>1002</v>
      </c>
      <c r="T10" t="s">
        <v>33</v>
      </c>
      <c r="U10" t="b">
        <v>0</v>
      </c>
    </row>
    <row r="11" spans="1:21">
      <c r="A11">
        <v>10</v>
      </c>
      <c r="B11">
        <v>1010</v>
      </c>
      <c r="C11" t="s">
        <v>137</v>
      </c>
      <c r="D11" t="s">
        <v>117</v>
      </c>
      <c r="E11">
        <v>55</v>
      </c>
      <c r="F11" t="str">
        <f t="shared" si="0"/>
        <v>Senior </v>
      </c>
      <c r="G11" s="2">
        <v>44908</v>
      </c>
      <c r="H11" t="str">
        <f t="shared" si="1"/>
        <v>December</v>
      </c>
      <c r="I11" t="s">
        <v>119</v>
      </c>
      <c r="J11" t="s">
        <v>126</v>
      </c>
      <c r="K11" t="s">
        <v>52</v>
      </c>
      <c r="L11" t="s">
        <v>28</v>
      </c>
      <c r="M11" t="s">
        <v>63</v>
      </c>
      <c r="N11">
        <v>1</v>
      </c>
      <c r="O11" t="s">
        <v>30</v>
      </c>
      <c r="P11">
        <v>876</v>
      </c>
      <c r="Q11" t="s">
        <v>31</v>
      </c>
      <c r="R11" t="s">
        <v>66</v>
      </c>
      <c r="S11">
        <v>1003</v>
      </c>
      <c r="T11" t="s">
        <v>33</v>
      </c>
      <c r="U11" t="b">
        <v>0</v>
      </c>
    </row>
    <row r="12" spans="1:21">
      <c r="A12">
        <v>11</v>
      </c>
      <c r="B12">
        <v>1011</v>
      </c>
      <c r="C12" t="s">
        <v>138</v>
      </c>
      <c r="D12" t="s">
        <v>117</v>
      </c>
      <c r="E12">
        <v>60</v>
      </c>
      <c r="F12" t="str">
        <f t="shared" si="0"/>
        <v>Senior </v>
      </c>
      <c r="G12" s="2">
        <v>44909</v>
      </c>
      <c r="H12" t="str">
        <f t="shared" si="1"/>
        <v>December</v>
      </c>
      <c r="I12" t="s">
        <v>119</v>
      </c>
      <c r="J12" t="s">
        <v>126</v>
      </c>
      <c r="K12" t="s">
        <v>55</v>
      </c>
      <c r="L12" t="s">
        <v>40</v>
      </c>
      <c r="M12" t="s">
        <v>63</v>
      </c>
      <c r="N12">
        <v>1</v>
      </c>
      <c r="O12" t="s">
        <v>30</v>
      </c>
      <c r="P12">
        <v>906</v>
      </c>
      <c r="Q12" t="s">
        <v>31</v>
      </c>
      <c r="R12" t="s">
        <v>69</v>
      </c>
      <c r="S12">
        <v>1004</v>
      </c>
      <c r="T12" t="s">
        <v>33</v>
      </c>
      <c r="U12" t="b">
        <v>0</v>
      </c>
    </row>
    <row r="13" spans="1:21">
      <c r="A13">
        <v>12</v>
      </c>
      <c r="B13">
        <v>1012</v>
      </c>
      <c r="C13" t="s">
        <v>139</v>
      </c>
      <c r="D13" t="s">
        <v>117</v>
      </c>
      <c r="E13">
        <v>65</v>
      </c>
      <c r="F13" t="str">
        <f t="shared" si="0"/>
        <v>Senior </v>
      </c>
      <c r="G13" s="2">
        <v>44910</v>
      </c>
      <c r="H13" t="str">
        <f t="shared" si="1"/>
        <v>December</v>
      </c>
      <c r="I13" t="s">
        <v>119</v>
      </c>
      <c r="J13" t="s">
        <v>126</v>
      </c>
      <c r="K13" t="s">
        <v>59</v>
      </c>
      <c r="L13" t="s">
        <v>36</v>
      </c>
      <c r="M13" t="s">
        <v>63</v>
      </c>
      <c r="N13">
        <v>1</v>
      </c>
      <c r="O13" t="s">
        <v>30</v>
      </c>
      <c r="P13">
        <v>765</v>
      </c>
      <c r="Q13" t="s">
        <v>31</v>
      </c>
      <c r="R13" t="s">
        <v>71</v>
      </c>
      <c r="S13">
        <v>1005</v>
      </c>
      <c r="T13" t="s">
        <v>33</v>
      </c>
      <c r="U13" t="b">
        <v>0</v>
      </c>
    </row>
    <row r="14" spans="1:21">
      <c r="A14">
        <v>13</v>
      </c>
      <c r="B14">
        <v>1013</v>
      </c>
      <c r="C14" t="s">
        <v>140</v>
      </c>
      <c r="D14" t="s">
        <v>117</v>
      </c>
      <c r="E14">
        <v>70</v>
      </c>
      <c r="F14" t="str">
        <f t="shared" si="0"/>
        <v>Senior </v>
      </c>
      <c r="G14" s="2">
        <v>44911</v>
      </c>
      <c r="H14" t="str">
        <f t="shared" si="1"/>
        <v>December</v>
      </c>
      <c r="I14" t="s">
        <v>119</v>
      </c>
      <c r="J14" t="s">
        <v>141</v>
      </c>
      <c r="K14" t="s">
        <v>27</v>
      </c>
      <c r="L14" t="s">
        <v>28</v>
      </c>
      <c r="M14" t="s">
        <v>63</v>
      </c>
      <c r="N14">
        <v>1</v>
      </c>
      <c r="O14" t="s">
        <v>30</v>
      </c>
      <c r="P14">
        <v>890</v>
      </c>
      <c r="Q14" t="s">
        <v>31</v>
      </c>
      <c r="R14" t="s">
        <v>73</v>
      </c>
      <c r="S14">
        <v>1006</v>
      </c>
      <c r="T14" t="s">
        <v>33</v>
      </c>
      <c r="U14" t="b">
        <v>0</v>
      </c>
    </row>
    <row r="15" spans="1:21">
      <c r="A15">
        <v>14</v>
      </c>
      <c r="B15">
        <v>1014</v>
      </c>
      <c r="C15" t="s">
        <v>142</v>
      </c>
      <c r="D15" t="s">
        <v>117</v>
      </c>
      <c r="E15">
        <v>75</v>
      </c>
      <c r="F15" t="str">
        <f t="shared" si="0"/>
        <v>Senior </v>
      </c>
      <c r="G15" s="2">
        <v>44912</v>
      </c>
      <c r="H15" t="str">
        <f t="shared" si="1"/>
        <v>December</v>
      </c>
      <c r="I15" t="s">
        <v>119</v>
      </c>
      <c r="J15" t="s">
        <v>141</v>
      </c>
      <c r="K15" t="s">
        <v>35</v>
      </c>
      <c r="L15" t="s">
        <v>36</v>
      </c>
      <c r="M15" t="s">
        <v>63</v>
      </c>
      <c r="N15">
        <v>1</v>
      </c>
      <c r="O15" t="s">
        <v>30</v>
      </c>
      <c r="P15">
        <v>345</v>
      </c>
      <c r="Q15" t="s">
        <v>31</v>
      </c>
      <c r="R15" t="s">
        <v>75</v>
      </c>
      <c r="S15">
        <v>1007</v>
      </c>
      <c r="T15" t="s">
        <v>33</v>
      </c>
      <c r="U15" t="b">
        <v>0</v>
      </c>
    </row>
    <row r="16" spans="1:21">
      <c r="A16">
        <v>15</v>
      </c>
      <c r="B16">
        <v>1015</v>
      </c>
      <c r="C16" t="s">
        <v>143</v>
      </c>
      <c r="D16" t="s">
        <v>117</v>
      </c>
      <c r="E16">
        <v>80</v>
      </c>
      <c r="F16" t="str">
        <f t="shared" si="0"/>
        <v>Senior </v>
      </c>
      <c r="G16" s="2">
        <v>44913</v>
      </c>
      <c r="H16" t="str">
        <f t="shared" si="1"/>
        <v>December</v>
      </c>
      <c r="I16" t="s">
        <v>25</v>
      </c>
      <c r="J16" t="s">
        <v>141</v>
      </c>
      <c r="K16" t="s">
        <v>39</v>
      </c>
      <c r="L16" t="s">
        <v>36</v>
      </c>
      <c r="M16" t="s">
        <v>144</v>
      </c>
      <c r="N16">
        <v>1</v>
      </c>
      <c r="O16" t="s">
        <v>30</v>
      </c>
      <c r="P16">
        <v>654</v>
      </c>
      <c r="Q16" t="s">
        <v>31</v>
      </c>
      <c r="R16" t="s">
        <v>77</v>
      </c>
      <c r="S16">
        <v>1008</v>
      </c>
      <c r="T16" t="s">
        <v>33</v>
      </c>
      <c r="U16" t="b">
        <v>0</v>
      </c>
    </row>
    <row r="17" spans="1:21">
      <c r="A17">
        <v>16</v>
      </c>
      <c r="B17">
        <v>1016</v>
      </c>
      <c r="C17" t="s">
        <v>145</v>
      </c>
      <c r="D17" t="s">
        <v>22</v>
      </c>
      <c r="E17">
        <v>19</v>
      </c>
      <c r="F17" t="str">
        <f t="shared" si="0"/>
        <v>teen</v>
      </c>
      <c r="G17" s="2">
        <v>44914</v>
      </c>
      <c r="H17" t="str">
        <f t="shared" si="1"/>
        <v>December</v>
      </c>
      <c r="I17" t="s">
        <v>25</v>
      </c>
      <c r="J17" t="s">
        <v>141</v>
      </c>
      <c r="K17" t="s">
        <v>45</v>
      </c>
      <c r="L17" t="s">
        <v>36</v>
      </c>
      <c r="M17" t="s">
        <v>144</v>
      </c>
      <c r="N17">
        <v>1</v>
      </c>
      <c r="O17" t="s">
        <v>30</v>
      </c>
      <c r="P17">
        <v>700</v>
      </c>
      <c r="Q17" t="s">
        <v>31</v>
      </c>
      <c r="R17" t="s">
        <v>79</v>
      </c>
      <c r="S17">
        <v>1009</v>
      </c>
      <c r="T17" t="s">
        <v>33</v>
      </c>
      <c r="U17" t="b">
        <v>0</v>
      </c>
    </row>
    <row r="18" spans="1:21">
      <c r="A18">
        <v>17</v>
      </c>
      <c r="B18">
        <v>1017</v>
      </c>
      <c r="C18" t="s">
        <v>146</v>
      </c>
      <c r="D18" t="s">
        <v>22</v>
      </c>
      <c r="E18">
        <v>23</v>
      </c>
      <c r="F18" t="str">
        <f t="shared" si="0"/>
        <v>teen</v>
      </c>
      <c r="G18" s="2">
        <v>44915</v>
      </c>
      <c r="H18" t="str">
        <f t="shared" si="1"/>
        <v>December</v>
      </c>
      <c r="I18" t="s">
        <v>25</v>
      </c>
      <c r="J18" t="s">
        <v>141</v>
      </c>
      <c r="K18" t="s">
        <v>49</v>
      </c>
      <c r="L18" t="s">
        <v>36</v>
      </c>
      <c r="M18" t="s">
        <v>144</v>
      </c>
      <c r="N18">
        <v>1</v>
      </c>
      <c r="O18" t="s">
        <v>30</v>
      </c>
      <c r="P18">
        <v>465</v>
      </c>
      <c r="Q18" t="s">
        <v>31</v>
      </c>
      <c r="R18" t="s">
        <v>81</v>
      </c>
      <c r="S18">
        <v>1010</v>
      </c>
      <c r="T18" t="s">
        <v>33</v>
      </c>
      <c r="U18" t="b">
        <v>0</v>
      </c>
    </row>
    <row r="19" spans="1:21">
      <c r="A19">
        <v>18</v>
      </c>
      <c r="B19">
        <v>1018</v>
      </c>
      <c r="C19" t="s">
        <v>147</v>
      </c>
      <c r="D19" t="s">
        <v>22</v>
      </c>
      <c r="E19">
        <v>27</v>
      </c>
      <c r="F19" t="str">
        <f t="shared" si="0"/>
        <v>teen</v>
      </c>
      <c r="G19" s="2">
        <v>44916</v>
      </c>
      <c r="H19" t="str">
        <f t="shared" si="1"/>
        <v>December</v>
      </c>
      <c r="I19" t="s">
        <v>25</v>
      </c>
      <c r="J19" t="s">
        <v>141</v>
      </c>
      <c r="K19" t="s">
        <v>52</v>
      </c>
      <c r="L19" t="s">
        <v>36</v>
      </c>
      <c r="M19" t="s">
        <v>144</v>
      </c>
      <c r="N19">
        <v>1</v>
      </c>
      <c r="O19" t="s">
        <v>30</v>
      </c>
      <c r="P19">
        <v>389</v>
      </c>
      <c r="Q19" t="s">
        <v>31</v>
      </c>
      <c r="R19" t="s">
        <v>83</v>
      </c>
      <c r="S19">
        <v>1011</v>
      </c>
      <c r="T19" t="s">
        <v>33</v>
      </c>
      <c r="U19" t="b">
        <v>0</v>
      </c>
    </row>
    <row r="20" spans="1:21">
      <c r="A20">
        <v>19</v>
      </c>
      <c r="B20">
        <v>1019</v>
      </c>
      <c r="C20" t="s">
        <v>148</v>
      </c>
      <c r="D20" t="s">
        <v>22</v>
      </c>
      <c r="E20">
        <v>32</v>
      </c>
      <c r="F20" t="str">
        <f t="shared" si="0"/>
        <v>Adult</v>
      </c>
      <c r="G20" s="2">
        <v>44917</v>
      </c>
      <c r="H20" t="str">
        <f t="shared" si="1"/>
        <v>December</v>
      </c>
      <c r="I20" t="s">
        <v>25</v>
      </c>
      <c r="J20" t="s">
        <v>141</v>
      </c>
      <c r="K20" t="s">
        <v>55</v>
      </c>
      <c r="L20" t="s">
        <v>36</v>
      </c>
      <c r="M20" t="s">
        <v>144</v>
      </c>
      <c r="N20">
        <v>1</v>
      </c>
      <c r="O20" t="s">
        <v>30</v>
      </c>
      <c r="P20">
        <v>600</v>
      </c>
      <c r="Q20" t="s">
        <v>31</v>
      </c>
      <c r="R20" t="s">
        <v>85</v>
      </c>
      <c r="S20">
        <v>1012</v>
      </c>
      <c r="T20" t="s">
        <v>33</v>
      </c>
      <c r="U20" t="b">
        <v>0</v>
      </c>
    </row>
    <row r="21" spans="1:21">
      <c r="A21">
        <v>20</v>
      </c>
      <c r="B21">
        <v>1020</v>
      </c>
      <c r="C21" t="s">
        <v>149</v>
      </c>
      <c r="D21" t="s">
        <v>22</v>
      </c>
      <c r="E21">
        <v>36</v>
      </c>
      <c r="F21" t="str">
        <f t="shared" si="0"/>
        <v>Adult</v>
      </c>
      <c r="G21" s="2">
        <v>44918</v>
      </c>
      <c r="H21" t="str">
        <f t="shared" si="1"/>
        <v>December</v>
      </c>
      <c r="I21" t="s">
        <v>25</v>
      </c>
      <c r="J21" t="s">
        <v>141</v>
      </c>
      <c r="K21" t="s">
        <v>59</v>
      </c>
      <c r="L21" t="s">
        <v>36</v>
      </c>
      <c r="M21" t="s">
        <v>144</v>
      </c>
      <c r="N21">
        <v>1</v>
      </c>
      <c r="O21" t="s">
        <v>30</v>
      </c>
      <c r="P21">
        <v>601</v>
      </c>
      <c r="Q21" t="s">
        <v>31</v>
      </c>
      <c r="R21" t="s">
        <v>87</v>
      </c>
      <c r="S21">
        <v>1013</v>
      </c>
      <c r="T21" t="s">
        <v>33</v>
      </c>
      <c r="U21" t="b">
        <v>0</v>
      </c>
    </row>
    <row r="22" spans="1:21">
      <c r="A22">
        <v>21</v>
      </c>
      <c r="B22">
        <v>1021</v>
      </c>
      <c r="C22" t="s">
        <v>150</v>
      </c>
      <c r="D22" t="s">
        <v>22</v>
      </c>
      <c r="E22">
        <v>41</v>
      </c>
      <c r="F22" t="str">
        <f t="shared" si="0"/>
        <v>Adult</v>
      </c>
      <c r="G22" s="2">
        <v>44919</v>
      </c>
      <c r="H22" t="str">
        <f t="shared" si="1"/>
        <v>December</v>
      </c>
      <c r="I22" t="s">
        <v>25</v>
      </c>
      <c r="J22" t="s">
        <v>141</v>
      </c>
      <c r="K22" t="s">
        <v>27</v>
      </c>
      <c r="L22" t="s">
        <v>36</v>
      </c>
      <c r="M22" t="s">
        <v>144</v>
      </c>
      <c r="N22">
        <v>1</v>
      </c>
      <c r="O22" t="s">
        <v>30</v>
      </c>
      <c r="P22">
        <v>602</v>
      </c>
      <c r="Q22" t="s">
        <v>31</v>
      </c>
      <c r="R22" t="s">
        <v>89</v>
      </c>
      <c r="S22">
        <v>1014</v>
      </c>
      <c r="T22" t="s">
        <v>33</v>
      </c>
      <c r="U22" t="b">
        <v>0</v>
      </c>
    </row>
    <row r="23" spans="1:21">
      <c r="A23">
        <v>22</v>
      </c>
      <c r="B23">
        <v>1022</v>
      </c>
      <c r="C23" t="s">
        <v>151</v>
      </c>
      <c r="D23" t="s">
        <v>22</v>
      </c>
      <c r="E23">
        <v>46</v>
      </c>
      <c r="F23" t="str">
        <f t="shared" si="0"/>
        <v>Adult</v>
      </c>
      <c r="G23" s="2">
        <v>44920</v>
      </c>
      <c r="H23" t="str">
        <f t="shared" si="1"/>
        <v>December</v>
      </c>
      <c r="I23" t="s">
        <v>25</v>
      </c>
      <c r="J23" t="s">
        <v>141</v>
      </c>
      <c r="K23" t="s">
        <v>35</v>
      </c>
      <c r="L23" t="s">
        <v>36</v>
      </c>
      <c r="M23" t="s">
        <v>144</v>
      </c>
      <c r="N23">
        <v>1</v>
      </c>
      <c r="O23" t="s">
        <v>30</v>
      </c>
      <c r="P23">
        <v>603</v>
      </c>
      <c r="Q23" t="s">
        <v>31</v>
      </c>
      <c r="R23" t="s">
        <v>91</v>
      </c>
      <c r="S23">
        <v>1015</v>
      </c>
      <c r="T23" t="s">
        <v>33</v>
      </c>
      <c r="U23" t="b">
        <v>0</v>
      </c>
    </row>
    <row r="24" spans="1:21">
      <c r="A24">
        <v>23</v>
      </c>
      <c r="B24">
        <v>1023</v>
      </c>
      <c r="C24" t="s">
        <v>152</v>
      </c>
      <c r="D24" t="s">
        <v>22</v>
      </c>
      <c r="E24">
        <v>51</v>
      </c>
      <c r="F24" t="str">
        <f t="shared" si="0"/>
        <v>Senior </v>
      </c>
      <c r="G24" s="2">
        <v>44921</v>
      </c>
      <c r="H24" t="str">
        <f t="shared" si="1"/>
        <v>December</v>
      </c>
      <c r="I24" t="s">
        <v>25</v>
      </c>
      <c r="J24" t="s">
        <v>141</v>
      </c>
      <c r="K24" t="s">
        <v>39</v>
      </c>
      <c r="L24" t="s">
        <v>36</v>
      </c>
      <c r="M24" t="s">
        <v>144</v>
      </c>
      <c r="N24">
        <v>1</v>
      </c>
      <c r="O24" t="s">
        <v>30</v>
      </c>
      <c r="P24">
        <v>604</v>
      </c>
      <c r="Q24" t="s">
        <v>31</v>
      </c>
      <c r="R24" t="s">
        <v>93</v>
      </c>
      <c r="S24">
        <v>1016</v>
      </c>
      <c r="T24" t="s">
        <v>33</v>
      </c>
      <c r="U24" t="b">
        <v>0</v>
      </c>
    </row>
    <row r="25" spans="1:21">
      <c r="A25">
        <v>24</v>
      </c>
      <c r="B25">
        <v>1024</v>
      </c>
      <c r="C25" t="s">
        <v>153</v>
      </c>
      <c r="D25" t="s">
        <v>22</v>
      </c>
      <c r="E25">
        <v>56</v>
      </c>
      <c r="F25" t="str">
        <f t="shared" si="0"/>
        <v>Senior </v>
      </c>
      <c r="G25" s="2">
        <v>44922</v>
      </c>
      <c r="H25" t="str">
        <f t="shared" si="1"/>
        <v>December</v>
      </c>
      <c r="I25" t="s">
        <v>25</v>
      </c>
      <c r="J25" t="s">
        <v>62</v>
      </c>
      <c r="K25" t="s">
        <v>45</v>
      </c>
      <c r="L25" t="s">
        <v>36</v>
      </c>
      <c r="M25" t="s">
        <v>144</v>
      </c>
      <c r="N25">
        <v>1</v>
      </c>
      <c r="O25" t="s">
        <v>30</v>
      </c>
      <c r="P25">
        <v>605</v>
      </c>
      <c r="Q25" t="s">
        <v>31</v>
      </c>
      <c r="R25" t="s">
        <v>95</v>
      </c>
      <c r="S25">
        <v>1017</v>
      </c>
      <c r="T25" t="s">
        <v>33</v>
      </c>
      <c r="U25" t="b">
        <v>0</v>
      </c>
    </row>
    <row r="26" spans="1:21">
      <c r="A26">
        <v>25</v>
      </c>
      <c r="B26">
        <v>1025</v>
      </c>
      <c r="C26" t="s">
        <v>154</v>
      </c>
      <c r="D26" t="s">
        <v>22</v>
      </c>
      <c r="E26">
        <v>61</v>
      </c>
      <c r="F26" t="str">
        <f t="shared" si="0"/>
        <v>Senior </v>
      </c>
      <c r="G26" s="2">
        <v>44923</v>
      </c>
      <c r="H26" t="str">
        <f t="shared" si="1"/>
        <v>December</v>
      </c>
      <c r="I26" t="s">
        <v>25</v>
      </c>
      <c r="J26" t="s">
        <v>126</v>
      </c>
      <c r="K26" t="s">
        <v>49</v>
      </c>
      <c r="L26" t="s">
        <v>36</v>
      </c>
      <c r="M26" t="s">
        <v>144</v>
      </c>
      <c r="N26">
        <v>1</v>
      </c>
      <c r="O26" t="s">
        <v>30</v>
      </c>
      <c r="P26">
        <v>606</v>
      </c>
      <c r="Q26" t="s">
        <v>31</v>
      </c>
      <c r="R26" t="s">
        <v>97</v>
      </c>
      <c r="S26">
        <v>1018</v>
      </c>
      <c r="T26" t="s">
        <v>33</v>
      </c>
      <c r="U26" t="b">
        <v>0</v>
      </c>
    </row>
    <row r="27" spans="1:21">
      <c r="A27">
        <v>26</v>
      </c>
      <c r="B27">
        <v>1026</v>
      </c>
      <c r="C27" t="s">
        <v>155</v>
      </c>
      <c r="D27" t="s">
        <v>22</v>
      </c>
      <c r="E27">
        <v>66</v>
      </c>
      <c r="F27" t="str">
        <f t="shared" si="0"/>
        <v>Senior </v>
      </c>
      <c r="G27" s="2">
        <v>44924</v>
      </c>
      <c r="H27" t="str">
        <f t="shared" si="1"/>
        <v>December</v>
      </c>
      <c r="I27" t="s">
        <v>25</v>
      </c>
      <c r="J27" t="s">
        <v>156</v>
      </c>
      <c r="K27" t="s">
        <v>52</v>
      </c>
      <c r="L27" t="s">
        <v>36</v>
      </c>
      <c r="M27" t="s">
        <v>29</v>
      </c>
      <c r="N27">
        <v>1</v>
      </c>
      <c r="O27" t="s">
        <v>30</v>
      </c>
      <c r="P27">
        <v>607</v>
      </c>
      <c r="Q27" t="s">
        <v>31</v>
      </c>
      <c r="R27" t="s">
        <v>99</v>
      </c>
      <c r="S27">
        <v>1019</v>
      </c>
      <c r="T27" t="s">
        <v>33</v>
      </c>
      <c r="U27" t="b">
        <v>0</v>
      </c>
    </row>
    <row r="28" spans="1:21">
      <c r="A28">
        <v>27</v>
      </c>
      <c r="B28">
        <v>1027</v>
      </c>
      <c r="C28" t="s">
        <v>157</v>
      </c>
      <c r="D28" t="s">
        <v>22</v>
      </c>
      <c r="E28">
        <v>71</v>
      </c>
      <c r="F28" t="str">
        <f t="shared" si="0"/>
        <v>Senior </v>
      </c>
      <c r="G28" s="2">
        <v>44925</v>
      </c>
      <c r="H28" t="str">
        <f t="shared" si="1"/>
        <v>December</v>
      </c>
      <c r="I28" t="s">
        <v>25</v>
      </c>
      <c r="J28" t="s">
        <v>156</v>
      </c>
      <c r="K28" t="s">
        <v>55</v>
      </c>
      <c r="L28" t="s">
        <v>36</v>
      </c>
      <c r="M28" t="s">
        <v>29</v>
      </c>
      <c r="N28">
        <v>1</v>
      </c>
      <c r="O28" t="s">
        <v>30</v>
      </c>
      <c r="P28">
        <v>608</v>
      </c>
      <c r="Q28" t="s">
        <v>31</v>
      </c>
      <c r="R28" t="s">
        <v>101</v>
      </c>
      <c r="S28">
        <v>1020</v>
      </c>
      <c r="T28" t="s">
        <v>33</v>
      </c>
      <c r="U28" t="b">
        <v>0</v>
      </c>
    </row>
    <row r="29" spans="1:21">
      <c r="A29">
        <v>28</v>
      </c>
      <c r="B29">
        <v>1028</v>
      </c>
      <c r="C29" t="s">
        <v>158</v>
      </c>
      <c r="D29" t="s">
        <v>22</v>
      </c>
      <c r="E29">
        <v>76</v>
      </c>
      <c r="F29" t="str">
        <f t="shared" si="0"/>
        <v>Senior </v>
      </c>
      <c r="G29" s="2">
        <v>44926</v>
      </c>
      <c r="H29" t="str">
        <f t="shared" si="1"/>
        <v>December</v>
      </c>
      <c r="I29" t="s">
        <v>25</v>
      </c>
      <c r="J29" t="s">
        <v>156</v>
      </c>
      <c r="K29" t="s">
        <v>59</v>
      </c>
      <c r="L29" t="s">
        <v>105</v>
      </c>
      <c r="M29" t="s">
        <v>29</v>
      </c>
      <c r="N29">
        <v>1</v>
      </c>
      <c r="O29" t="s">
        <v>30</v>
      </c>
      <c r="P29">
        <v>609</v>
      </c>
      <c r="Q29" t="s">
        <v>31</v>
      </c>
      <c r="R29" t="s">
        <v>103</v>
      </c>
      <c r="S29">
        <v>1021</v>
      </c>
      <c r="T29" t="s">
        <v>33</v>
      </c>
      <c r="U29" t="b">
        <v>0</v>
      </c>
    </row>
    <row r="30" spans="1:21">
      <c r="A30">
        <v>29</v>
      </c>
      <c r="B30">
        <v>1029</v>
      </c>
      <c r="C30" t="s">
        <v>21</v>
      </c>
      <c r="D30" t="s">
        <v>22</v>
      </c>
      <c r="E30">
        <v>20</v>
      </c>
      <c r="F30" t="str">
        <f t="shared" si="0"/>
        <v>teen</v>
      </c>
      <c r="G30" s="2">
        <v>44927</v>
      </c>
      <c r="H30" t="str">
        <f t="shared" si="1"/>
        <v>January</v>
      </c>
      <c r="I30" t="s">
        <v>25</v>
      </c>
      <c r="J30" t="s">
        <v>156</v>
      </c>
      <c r="K30" t="s">
        <v>27</v>
      </c>
      <c r="L30" t="s">
        <v>28</v>
      </c>
      <c r="M30" t="s">
        <v>29</v>
      </c>
      <c r="N30">
        <v>1</v>
      </c>
      <c r="O30" t="s">
        <v>30</v>
      </c>
      <c r="P30">
        <v>610</v>
      </c>
      <c r="Q30" t="s">
        <v>31</v>
      </c>
      <c r="R30" t="s">
        <v>32</v>
      </c>
      <c r="S30">
        <v>1022</v>
      </c>
      <c r="T30" t="s">
        <v>33</v>
      </c>
      <c r="U30" t="b">
        <v>0</v>
      </c>
    </row>
    <row r="31" spans="1:21">
      <c r="A31">
        <v>30</v>
      </c>
      <c r="B31">
        <v>1030</v>
      </c>
      <c r="C31" t="s">
        <v>34</v>
      </c>
      <c r="D31" t="s">
        <v>22</v>
      </c>
      <c r="E31">
        <v>24</v>
      </c>
      <c r="F31" t="str">
        <f t="shared" si="0"/>
        <v>teen</v>
      </c>
      <c r="G31" s="2">
        <v>44928</v>
      </c>
      <c r="H31" t="str">
        <f t="shared" si="1"/>
        <v>January</v>
      </c>
      <c r="I31" t="s">
        <v>25</v>
      </c>
      <c r="J31" t="s">
        <v>156</v>
      </c>
      <c r="K31" t="s">
        <v>35</v>
      </c>
      <c r="L31" t="s">
        <v>36</v>
      </c>
      <c r="M31" t="s">
        <v>29</v>
      </c>
      <c r="N31">
        <v>1</v>
      </c>
      <c r="O31" t="s">
        <v>30</v>
      </c>
      <c r="P31">
        <v>611</v>
      </c>
      <c r="Q31" t="s">
        <v>31</v>
      </c>
      <c r="R31" t="s">
        <v>37</v>
      </c>
      <c r="S31">
        <v>1023</v>
      </c>
      <c r="T31" t="s">
        <v>33</v>
      </c>
      <c r="U31" t="b">
        <v>0</v>
      </c>
    </row>
    <row r="32" spans="1:21">
      <c r="A32">
        <v>31</v>
      </c>
      <c r="B32">
        <v>1031</v>
      </c>
      <c r="C32" t="s">
        <v>38</v>
      </c>
      <c r="D32" t="s">
        <v>22</v>
      </c>
      <c r="E32">
        <v>28</v>
      </c>
      <c r="F32" t="str">
        <f t="shared" si="0"/>
        <v>teen</v>
      </c>
      <c r="G32" s="2">
        <v>44929</v>
      </c>
      <c r="H32" t="str">
        <f t="shared" si="1"/>
        <v>January</v>
      </c>
      <c r="I32" t="s">
        <v>25</v>
      </c>
      <c r="J32" t="s">
        <v>156</v>
      </c>
      <c r="K32" t="s">
        <v>39</v>
      </c>
      <c r="L32" t="s">
        <v>40</v>
      </c>
      <c r="M32" t="s">
        <v>29</v>
      </c>
      <c r="N32">
        <v>1</v>
      </c>
      <c r="O32" t="s">
        <v>30</v>
      </c>
      <c r="P32">
        <v>612</v>
      </c>
      <c r="Q32" t="s">
        <v>31</v>
      </c>
      <c r="R32" t="s">
        <v>41</v>
      </c>
      <c r="S32">
        <v>1024</v>
      </c>
      <c r="T32" t="s">
        <v>33</v>
      </c>
      <c r="U32" t="b">
        <v>0</v>
      </c>
    </row>
    <row r="33" spans="1:21">
      <c r="A33">
        <v>32</v>
      </c>
      <c r="B33">
        <v>1032</v>
      </c>
      <c r="C33" t="s">
        <v>42</v>
      </c>
      <c r="D33" t="s">
        <v>22</v>
      </c>
      <c r="E33">
        <v>33</v>
      </c>
      <c r="F33" t="str">
        <f t="shared" si="0"/>
        <v>Adult</v>
      </c>
      <c r="G33" s="2">
        <v>44930</v>
      </c>
      <c r="H33" t="str">
        <f t="shared" si="1"/>
        <v>January</v>
      </c>
      <c r="I33" t="s">
        <v>44</v>
      </c>
      <c r="J33" t="s">
        <v>156</v>
      </c>
      <c r="K33" t="s">
        <v>45</v>
      </c>
      <c r="L33" t="s">
        <v>46</v>
      </c>
      <c r="M33" t="s">
        <v>29</v>
      </c>
      <c r="N33">
        <v>1</v>
      </c>
      <c r="O33" t="s">
        <v>30</v>
      </c>
      <c r="P33">
        <v>613</v>
      </c>
      <c r="Q33" t="s">
        <v>31</v>
      </c>
      <c r="R33" t="s">
        <v>47</v>
      </c>
      <c r="S33">
        <v>1025</v>
      </c>
      <c r="T33" t="s">
        <v>33</v>
      </c>
      <c r="U33" t="b">
        <v>0</v>
      </c>
    </row>
    <row r="34" spans="1:21">
      <c r="A34">
        <v>33</v>
      </c>
      <c r="B34">
        <v>1033</v>
      </c>
      <c r="C34" t="s">
        <v>48</v>
      </c>
      <c r="D34" t="s">
        <v>22</v>
      </c>
      <c r="E34">
        <v>37</v>
      </c>
      <c r="F34" t="str">
        <f t="shared" si="0"/>
        <v>Adult</v>
      </c>
      <c r="G34" s="2">
        <v>44931</v>
      </c>
      <c r="H34" t="str">
        <f t="shared" si="1"/>
        <v>January</v>
      </c>
      <c r="I34" t="s">
        <v>44</v>
      </c>
      <c r="J34" t="s">
        <v>156</v>
      </c>
      <c r="K34" t="s">
        <v>49</v>
      </c>
      <c r="L34" t="s">
        <v>28</v>
      </c>
      <c r="M34" t="s">
        <v>29</v>
      </c>
      <c r="N34">
        <v>1</v>
      </c>
      <c r="O34" t="s">
        <v>30</v>
      </c>
      <c r="P34">
        <v>614</v>
      </c>
      <c r="Q34" t="s">
        <v>31</v>
      </c>
      <c r="R34" t="s">
        <v>50</v>
      </c>
      <c r="S34">
        <v>1026</v>
      </c>
      <c r="T34" t="s">
        <v>33</v>
      </c>
      <c r="U34" t="b">
        <v>0</v>
      </c>
    </row>
    <row r="35" spans="1:21">
      <c r="A35">
        <v>34</v>
      </c>
      <c r="B35">
        <v>1034</v>
      </c>
      <c r="C35" t="s">
        <v>51</v>
      </c>
      <c r="D35" t="s">
        <v>22</v>
      </c>
      <c r="E35">
        <v>42</v>
      </c>
      <c r="F35" t="str">
        <f t="shared" ref="F35:F66" si="2">IF(E35&gt;=50,"Senior ",IF(E35&gt;30,"Adult","teen"))</f>
        <v>Adult</v>
      </c>
      <c r="G35" s="2">
        <v>44932</v>
      </c>
      <c r="H35" t="str">
        <f t="shared" ref="H35:H66" si="3">TEXT(G35,"mmmm")</f>
        <v>January</v>
      </c>
      <c r="I35" t="s">
        <v>44</v>
      </c>
      <c r="J35" t="s">
        <v>156</v>
      </c>
      <c r="K35" t="s">
        <v>52</v>
      </c>
      <c r="L35" t="s">
        <v>36</v>
      </c>
      <c r="M35" t="s">
        <v>29</v>
      </c>
      <c r="N35">
        <v>1</v>
      </c>
      <c r="O35" t="s">
        <v>30</v>
      </c>
      <c r="P35">
        <v>615</v>
      </c>
      <c r="Q35" t="s">
        <v>31</v>
      </c>
      <c r="R35" t="s">
        <v>53</v>
      </c>
      <c r="S35">
        <v>1027</v>
      </c>
      <c r="T35" t="s">
        <v>33</v>
      </c>
      <c r="U35" t="b">
        <v>0</v>
      </c>
    </row>
    <row r="36" spans="1:21">
      <c r="A36">
        <v>35</v>
      </c>
      <c r="B36">
        <v>1035</v>
      </c>
      <c r="C36" t="s">
        <v>54</v>
      </c>
      <c r="D36" t="s">
        <v>22</v>
      </c>
      <c r="E36">
        <v>47</v>
      </c>
      <c r="F36" t="str">
        <f t="shared" si="2"/>
        <v>Adult</v>
      </c>
      <c r="G36" s="2">
        <v>44933</v>
      </c>
      <c r="H36" t="str">
        <f t="shared" si="3"/>
        <v>January</v>
      </c>
      <c r="I36" t="s">
        <v>44</v>
      </c>
      <c r="J36" t="s">
        <v>156</v>
      </c>
      <c r="K36" t="s">
        <v>55</v>
      </c>
      <c r="L36" t="s">
        <v>40</v>
      </c>
      <c r="M36" t="s">
        <v>29</v>
      </c>
      <c r="N36">
        <v>1</v>
      </c>
      <c r="O36" t="s">
        <v>30</v>
      </c>
      <c r="P36">
        <v>616</v>
      </c>
      <c r="Q36" t="s">
        <v>31</v>
      </c>
      <c r="R36" t="s">
        <v>56</v>
      </c>
      <c r="S36">
        <v>1028</v>
      </c>
      <c r="T36" t="s">
        <v>33</v>
      </c>
      <c r="U36" t="b">
        <v>0</v>
      </c>
    </row>
    <row r="37" spans="1:21">
      <c r="A37">
        <v>36</v>
      </c>
      <c r="B37">
        <v>1036</v>
      </c>
      <c r="C37" t="s">
        <v>57</v>
      </c>
      <c r="D37" t="s">
        <v>22</v>
      </c>
      <c r="E37">
        <v>52</v>
      </c>
      <c r="F37" t="str">
        <f t="shared" si="2"/>
        <v>Senior </v>
      </c>
      <c r="G37" s="2">
        <v>44934</v>
      </c>
      <c r="H37" t="str">
        <f t="shared" si="3"/>
        <v>January</v>
      </c>
      <c r="I37" t="s">
        <v>44</v>
      </c>
      <c r="J37" t="s">
        <v>156</v>
      </c>
      <c r="K37" t="s">
        <v>59</v>
      </c>
      <c r="L37" t="s">
        <v>36</v>
      </c>
      <c r="M37" t="s">
        <v>29</v>
      </c>
      <c r="N37">
        <v>1</v>
      </c>
      <c r="O37" t="s">
        <v>30</v>
      </c>
      <c r="P37">
        <v>540</v>
      </c>
      <c r="Q37" t="s">
        <v>31</v>
      </c>
      <c r="R37" t="s">
        <v>60</v>
      </c>
      <c r="S37">
        <v>1029</v>
      </c>
      <c r="T37" t="s">
        <v>33</v>
      </c>
      <c r="U37" t="b">
        <v>0</v>
      </c>
    </row>
    <row r="38" spans="1:21">
      <c r="A38">
        <v>37</v>
      </c>
      <c r="B38">
        <v>1037</v>
      </c>
      <c r="C38" t="s">
        <v>61</v>
      </c>
      <c r="D38" t="s">
        <v>22</v>
      </c>
      <c r="E38">
        <v>57</v>
      </c>
      <c r="F38" t="str">
        <f t="shared" si="2"/>
        <v>Senior </v>
      </c>
      <c r="G38" s="2">
        <v>44935</v>
      </c>
      <c r="H38" t="str">
        <f t="shared" si="3"/>
        <v>January</v>
      </c>
      <c r="I38" t="s">
        <v>44</v>
      </c>
      <c r="J38" t="s">
        <v>62</v>
      </c>
      <c r="K38" t="s">
        <v>27</v>
      </c>
      <c r="L38" t="s">
        <v>28</v>
      </c>
      <c r="M38" t="s">
        <v>63</v>
      </c>
      <c r="N38">
        <v>1</v>
      </c>
      <c r="O38" t="s">
        <v>30</v>
      </c>
      <c r="P38">
        <v>541</v>
      </c>
      <c r="Q38" t="s">
        <v>31</v>
      </c>
      <c r="R38" t="s">
        <v>64</v>
      </c>
      <c r="S38">
        <v>1030</v>
      </c>
      <c r="T38" t="s">
        <v>33</v>
      </c>
      <c r="U38" t="b">
        <v>0</v>
      </c>
    </row>
    <row r="39" spans="1:21">
      <c r="A39">
        <v>38</v>
      </c>
      <c r="B39">
        <v>1038</v>
      </c>
      <c r="C39" t="s">
        <v>65</v>
      </c>
      <c r="D39" t="s">
        <v>22</v>
      </c>
      <c r="E39">
        <v>62</v>
      </c>
      <c r="F39" t="str">
        <f t="shared" si="2"/>
        <v>Senior </v>
      </c>
      <c r="G39" s="2">
        <v>44936</v>
      </c>
      <c r="H39" t="str">
        <f t="shared" si="3"/>
        <v>January</v>
      </c>
      <c r="I39" t="s">
        <v>44</v>
      </c>
      <c r="J39" t="s">
        <v>62</v>
      </c>
      <c r="K39" t="s">
        <v>35</v>
      </c>
      <c r="L39" t="s">
        <v>28</v>
      </c>
      <c r="M39" t="s">
        <v>63</v>
      </c>
      <c r="N39">
        <v>1</v>
      </c>
      <c r="O39" t="s">
        <v>30</v>
      </c>
      <c r="P39">
        <v>542</v>
      </c>
      <c r="Q39" t="s">
        <v>31</v>
      </c>
      <c r="R39" t="s">
        <v>66</v>
      </c>
      <c r="S39">
        <v>1031</v>
      </c>
      <c r="T39" t="s">
        <v>33</v>
      </c>
      <c r="U39" t="b">
        <v>0</v>
      </c>
    </row>
    <row r="40" spans="1:21">
      <c r="A40">
        <v>39</v>
      </c>
      <c r="B40">
        <v>1039</v>
      </c>
      <c r="C40" t="s">
        <v>67</v>
      </c>
      <c r="D40" t="s">
        <v>22</v>
      </c>
      <c r="E40">
        <v>67</v>
      </c>
      <c r="F40" t="str">
        <f t="shared" si="2"/>
        <v>Senior </v>
      </c>
      <c r="G40" s="2">
        <v>44937</v>
      </c>
      <c r="H40" t="str">
        <f t="shared" si="3"/>
        <v>January</v>
      </c>
      <c r="I40" t="s">
        <v>44</v>
      </c>
      <c r="J40" t="s">
        <v>62</v>
      </c>
      <c r="K40" t="s">
        <v>39</v>
      </c>
      <c r="L40" t="s">
        <v>28</v>
      </c>
      <c r="M40" t="s">
        <v>63</v>
      </c>
      <c r="N40">
        <v>1</v>
      </c>
      <c r="O40" t="s">
        <v>30</v>
      </c>
      <c r="P40">
        <v>543</v>
      </c>
      <c r="Q40" t="s">
        <v>68</v>
      </c>
      <c r="R40" t="s">
        <v>69</v>
      </c>
      <c r="S40">
        <v>1032</v>
      </c>
      <c r="T40" t="s">
        <v>33</v>
      </c>
      <c r="U40" t="b">
        <v>0</v>
      </c>
    </row>
    <row r="41" spans="1:21">
      <c r="A41">
        <v>40</v>
      </c>
      <c r="B41">
        <v>1040</v>
      </c>
      <c r="C41" t="s">
        <v>70</v>
      </c>
      <c r="D41" t="s">
        <v>22</v>
      </c>
      <c r="E41">
        <v>72</v>
      </c>
      <c r="F41" t="str">
        <f t="shared" si="2"/>
        <v>Senior </v>
      </c>
      <c r="G41" s="2">
        <v>44938</v>
      </c>
      <c r="H41" t="str">
        <f t="shared" si="3"/>
        <v>January</v>
      </c>
      <c r="I41" t="s">
        <v>44</v>
      </c>
      <c r="J41" t="s">
        <v>62</v>
      </c>
      <c r="K41" t="s">
        <v>45</v>
      </c>
      <c r="L41" t="s">
        <v>28</v>
      </c>
      <c r="M41" t="s">
        <v>63</v>
      </c>
      <c r="N41">
        <v>1</v>
      </c>
      <c r="O41" t="s">
        <v>30</v>
      </c>
      <c r="P41">
        <v>544</v>
      </c>
      <c r="Q41" t="s">
        <v>68</v>
      </c>
      <c r="R41" t="s">
        <v>71</v>
      </c>
      <c r="S41">
        <v>1033</v>
      </c>
      <c r="T41" t="s">
        <v>33</v>
      </c>
      <c r="U41" t="b">
        <v>0</v>
      </c>
    </row>
    <row r="42" spans="1:21">
      <c r="A42">
        <v>41</v>
      </c>
      <c r="B42">
        <v>1041</v>
      </c>
      <c r="C42" t="s">
        <v>72</v>
      </c>
      <c r="D42" t="s">
        <v>22</v>
      </c>
      <c r="E42">
        <v>77</v>
      </c>
      <c r="F42" t="str">
        <f t="shared" si="2"/>
        <v>Senior </v>
      </c>
      <c r="G42" s="2">
        <v>44939</v>
      </c>
      <c r="H42" t="str">
        <f t="shared" si="3"/>
        <v>January</v>
      </c>
      <c r="I42" t="s">
        <v>44</v>
      </c>
      <c r="J42" t="s">
        <v>62</v>
      </c>
      <c r="K42" t="s">
        <v>49</v>
      </c>
      <c r="L42" t="s">
        <v>28</v>
      </c>
      <c r="M42" t="s">
        <v>63</v>
      </c>
      <c r="N42">
        <v>1</v>
      </c>
      <c r="O42" t="s">
        <v>30</v>
      </c>
      <c r="P42">
        <v>545</v>
      </c>
      <c r="Q42" t="s">
        <v>68</v>
      </c>
      <c r="R42" t="s">
        <v>73</v>
      </c>
      <c r="S42">
        <v>1034</v>
      </c>
      <c r="T42" t="s">
        <v>33</v>
      </c>
      <c r="U42" t="b">
        <v>0</v>
      </c>
    </row>
    <row r="43" spans="1:21">
      <c r="A43">
        <v>42</v>
      </c>
      <c r="B43">
        <v>1042</v>
      </c>
      <c r="C43" t="s">
        <v>74</v>
      </c>
      <c r="D43" t="s">
        <v>22</v>
      </c>
      <c r="E43">
        <v>21</v>
      </c>
      <c r="F43" t="str">
        <f t="shared" si="2"/>
        <v>teen</v>
      </c>
      <c r="G43" s="2">
        <v>44940</v>
      </c>
      <c r="H43" t="str">
        <f t="shared" si="3"/>
        <v>January</v>
      </c>
      <c r="I43" t="s">
        <v>44</v>
      </c>
      <c r="J43" t="s">
        <v>62</v>
      </c>
      <c r="K43" t="s">
        <v>52</v>
      </c>
      <c r="L43" t="s">
        <v>28</v>
      </c>
      <c r="M43" t="s">
        <v>63</v>
      </c>
      <c r="N43">
        <v>1</v>
      </c>
      <c r="O43" t="s">
        <v>30</v>
      </c>
      <c r="P43">
        <v>546</v>
      </c>
      <c r="Q43" t="s">
        <v>68</v>
      </c>
      <c r="R43" t="s">
        <v>75</v>
      </c>
      <c r="S43">
        <v>1035</v>
      </c>
      <c r="T43" t="s">
        <v>33</v>
      </c>
      <c r="U43" t="b">
        <v>0</v>
      </c>
    </row>
    <row r="44" spans="1:21">
      <c r="A44">
        <v>43</v>
      </c>
      <c r="B44">
        <v>1043</v>
      </c>
      <c r="C44" t="s">
        <v>76</v>
      </c>
      <c r="D44" t="s">
        <v>22</v>
      </c>
      <c r="E44">
        <v>26</v>
      </c>
      <c r="F44" t="str">
        <f t="shared" si="2"/>
        <v>teen</v>
      </c>
      <c r="G44" s="2">
        <v>44941</v>
      </c>
      <c r="H44" t="str">
        <f t="shared" si="3"/>
        <v>January</v>
      </c>
      <c r="I44" t="s">
        <v>44</v>
      </c>
      <c r="J44" t="s">
        <v>62</v>
      </c>
      <c r="K44" t="s">
        <v>55</v>
      </c>
      <c r="L44" t="s">
        <v>28</v>
      </c>
      <c r="M44" t="s">
        <v>63</v>
      </c>
      <c r="N44">
        <v>1</v>
      </c>
      <c r="O44" t="s">
        <v>30</v>
      </c>
      <c r="P44">
        <v>547</v>
      </c>
      <c r="Q44" t="s">
        <v>68</v>
      </c>
      <c r="R44" t="s">
        <v>77</v>
      </c>
      <c r="S44">
        <v>1036</v>
      </c>
      <c r="T44" t="s">
        <v>33</v>
      </c>
      <c r="U44" t="b">
        <v>0</v>
      </c>
    </row>
    <row r="45" spans="1:21">
      <c r="A45">
        <v>44</v>
      </c>
      <c r="B45">
        <v>1044</v>
      </c>
      <c r="C45" t="s">
        <v>78</v>
      </c>
      <c r="D45" t="s">
        <v>22</v>
      </c>
      <c r="E45">
        <v>29</v>
      </c>
      <c r="F45" t="str">
        <f t="shared" si="2"/>
        <v>teen</v>
      </c>
      <c r="G45" s="2">
        <v>44942</v>
      </c>
      <c r="H45" t="str">
        <f t="shared" si="3"/>
        <v>January</v>
      </c>
      <c r="I45" t="s">
        <v>44</v>
      </c>
      <c r="J45" t="s">
        <v>62</v>
      </c>
      <c r="K45" t="s">
        <v>59</v>
      </c>
      <c r="L45" t="s">
        <v>28</v>
      </c>
      <c r="M45" t="s">
        <v>63</v>
      </c>
      <c r="N45">
        <v>1</v>
      </c>
      <c r="O45" t="s">
        <v>30</v>
      </c>
      <c r="P45">
        <v>548</v>
      </c>
      <c r="Q45" t="s">
        <v>68</v>
      </c>
      <c r="R45" t="s">
        <v>79</v>
      </c>
      <c r="S45">
        <v>1037</v>
      </c>
      <c r="T45" t="s">
        <v>33</v>
      </c>
      <c r="U45" t="b">
        <v>0</v>
      </c>
    </row>
    <row r="46" spans="1:21">
      <c r="A46">
        <v>45</v>
      </c>
      <c r="B46">
        <v>1045</v>
      </c>
      <c r="C46" t="s">
        <v>80</v>
      </c>
      <c r="D46" t="s">
        <v>22</v>
      </c>
      <c r="E46">
        <v>34</v>
      </c>
      <c r="F46" t="str">
        <f t="shared" si="2"/>
        <v>Adult</v>
      </c>
      <c r="G46" s="2">
        <v>44943</v>
      </c>
      <c r="H46" t="str">
        <f t="shared" si="3"/>
        <v>January</v>
      </c>
      <c r="I46" t="s">
        <v>44</v>
      </c>
      <c r="J46" t="s">
        <v>62</v>
      </c>
      <c r="K46" t="s">
        <v>27</v>
      </c>
      <c r="L46" t="s">
        <v>28</v>
      </c>
      <c r="M46" t="s">
        <v>63</v>
      </c>
      <c r="N46">
        <v>1</v>
      </c>
      <c r="O46" t="s">
        <v>30</v>
      </c>
      <c r="P46">
        <v>549</v>
      </c>
      <c r="Q46" t="s">
        <v>68</v>
      </c>
      <c r="R46" t="s">
        <v>81</v>
      </c>
      <c r="S46">
        <v>1038</v>
      </c>
      <c r="T46" t="s">
        <v>33</v>
      </c>
      <c r="U46" t="b">
        <v>0</v>
      </c>
    </row>
    <row r="47" spans="1:21">
      <c r="A47">
        <v>46</v>
      </c>
      <c r="B47">
        <v>1046</v>
      </c>
      <c r="C47" t="s">
        <v>82</v>
      </c>
      <c r="D47" t="s">
        <v>22</v>
      </c>
      <c r="E47">
        <v>38</v>
      </c>
      <c r="F47" t="str">
        <f t="shared" si="2"/>
        <v>Adult</v>
      </c>
      <c r="G47" s="2">
        <v>44944</v>
      </c>
      <c r="H47" t="str">
        <f t="shared" si="3"/>
        <v>January</v>
      </c>
      <c r="I47" t="s">
        <v>44</v>
      </c>
      <c r="J47" t="s">
        <v>62</v>
      </c>
      <c r="K47" t="s">
        <v>35</v>
      </c>
      <c r="L47" t="s">
        <v>28</v>
      </c>
      <c r="M47" t="s">
        <v>63</v>
      </c>
      <c r="N47">
        <v>1</v>
      </c>
      <c r="O47" t="s">
        <v>30</v>
      </c>
      <c r="P47">
        <v>550</v>
      </c>
      <c r="Q47" t="s">
        <v>68</v>
      </c>
      <c r="R47" t="s">
        <v>83</v>
      </c>
      <c r="S47">
        <v>1039</v>
      </c>
      <c r="T47" t="s">
        <v>33</v>
      </c>
      <c r="U47" t="b">
        <v>0</v>
      </c>
    </row>
    <row r="48" spans="1:21">
      <c r="A48">
        <v>47</v>
      </c>
      <c r="B48">
        <v>1047</v>
      </c>
      <c r="C48" t="s">
        <v>84</v>
      </c>
      <c r="D48" t="s">
        <v>22</v>
      </c>
      <c r="E48">
        <v>43</v>
      </c>
      <c r="F48" t="str">
        <f t="shared" si="2"/>
        <v>Adult</v>
      </c>
      <c r="G48" s="2">
        <v>44945</v>
      </c>
      <c r="H48" t="str">
        <f t="shared" si="3"/>
        <v>January</v>
      </c>
      <c r="I48" t="s">
        <v>44</v>
      </c>
      <c r="J48" t="s">
        <v>62</v>
      </c>
      <c r="K48" t="s">
        <v>39</v>
      </c>
      <c r="L48" t="s">
        <v>28</v>
      </c>
      <c r="M48" t="s">
        <v>63</v>
      </c>
      <c r="N48">
        <v>1</v>
      </c>
      <c r="O48" t="s">
        <v>30</v>
      </c>
      <c r="P48">
        <v>551</v>
      </c>
      <c r="Q48" t="s">
        <v>68</v>
      </c>
      <c r="R48" t="s">
        <v>85</v>
      </c>
      <c r="S48">
        <v>1040</v>
      </c>
      <c r="T48" t="s">
        <v>33</v>
      </c>
      <c r="U48" t="b">
        <v>0</v>
      </c>
    </row>
    <row r="49" spans="1:21">
      <c r="A49">
        <v>48</v>
      </c>
      <c r="B49">
        <v>1048</v>
      </c>
      <c r="C49" t="s">
        <v>86</v>
      </c>
      <c r="D49" t="s">
        <v>22</v>
      </c>
      <c r="E49">
        <v>48</v>
      </c>
      <c r="F49" t="str">
        <f t="shared" si="2"/>
        <v>Adult</v>
      </c>
      <c r="G49" s="2">
        <v>44946</v>
      </c>
      <c r="H49" t="str">
        <f t="shared" si="3"/>
        <v>January</v>
      </c>
      <c r="I49" t="s">
        <v>44</v>
      </c>
      <c r="J49" t="s">
        <v>62</v>
      </c>
      <c r="K49" t="s">
        <v>45</v>
      </c>
      <c r="L49" t="s">
        <v>28</v>
      </c>
      <c r="M49" t="s">
        <v>63</v>
      </c>
      <c r="N49">
        <v>1</v>
      </c>
      <c r="O49" t="s">
        <v>30</v>
      </c>
      <c r="P49">
        <v>552</v>
      </c>
      <c r="Q49" t="s">
        <v>68</v>
      </c>
      <c r="R49" t="s">
        <v>87</v>
      </c>
      <c r="S49">
        <v>1041</v>
      </c>
      <c r="T49" t="s">
        <v>33</v>
      </c>
      <c r="U49" t="b">
        <v>0</v>
      </c>
    </row>
    <row r="50" spans="1:21">
      <c r="A50">
        <v>49</v>
      </c>
      <c r="B50">
        <v>1049</v>
      </c>
      <c r="C50" t="s">
        <v>88</v>
      </c>
      <c r="D50" t="s">
        <v>22</v>
      </c>
      <c r="E50">
        <v>53</v>
      </c>
      <c r="F50" t="str">
        <f t="shared" si="2"/>
        <v>Senior </v>
      </c>
      <c r="G50" s="2">
        <v>44947</v>
      </c>
      <c r="H50" t="str">
        <f t="shared" si="3"/>
        <v>January</v>
      </c>
      <c r="I50" t="s">
        <v>44</v>
      </c>
      <c r="J50" t="s">
        <v>62</v>
      </c>
      <c r="K50" t="s">
        <v>49</v>
      </c>
      <c r="L50" t="s">
        <v>28</v>
      </c>
      <c r="M50" t="s">
        <v>63</v>
      </c>
      <c r="N50">
        <v>1</v>
      </c>
      <c r="O50" t="s">
        <v>30</v>
      </c>
      <c r="P50">
        <v>553</v>
      </c>
      <c r="Q50" t="s">
        <v>68</v>
      </c>
      <c r="R50" t="s">
        <v>89</v>
      </c>
      <c r="S50">
        <v>1042</v>
      </c>
      <c r="T50" t="s">
        <v>33</v>
      </c>
      <c r="U50" t="b">
        <v>0</v>
      </c>
    </row>
    <row r="51" spans="1:21">
      <c r="A51">
        <v>50</v>
      </c>
      <c r="B51">
        <v>1050</v>
      </c>
      <c r="C51" t="s">
        <v>90</v>
      </c>
      <c r="D51" t="s">
        <v>22</v>
      </c>
      <c r="E51">
        <v>58</v>
      </c>
      <c r="F51" t="str">
        <f t="shared" si="2"/>
        <v>Senior </v>
      </c>
      <c r="G51" s="2">
        <v>44948</v>
      </c>
      <c r="H51" t="str">
        <f t="shared" si="3"/>
        <v>January</v>
      </c>
      <c r="I51" t="s">
        <v>44</v>
      </c>
      <c r="J51" t="s">
        <v>62</v>
      </c>
      <c r="K51" t="s">
        <v>52</v>
      </c>
      <c r="L51" t="s">
        <v>28</v>
      </c>
      <c r="M51" t="s">
        <v>63</v>
      </c>
      <c r="N51">
        <v>1</v>
      </c>
      <c r="O51" t="s">
        <v>30</v>
      </c>
      <c r="P51">
        <v>554</v>
      </c>
      <c r="Q51" t="s">
        <v>68</v>
      </c>
      <c r="R51" t="s">
        <v>91</v>
      </c>
      <c r="S51">
        <v>1043</v>
      </c>
      <c r="T51" t="s">
        <v>33</v>
      </c>
      <c r="U51" t="b">
        <v>0</v>
      </c>
    </row>
    <row r="52" spans="1:21">
      <c r="A52">
        <v>51</v>
      </c>
      <c r="B52">
        <v>1051</v>
      </c>
      <c r="C52" t="s">
        <v>92</v>
      </c>
      <c r="D52" t="s">
        <v>22</v>
      </c>
      <c r="E52">
        <v>63</v>
      </c>
      <c r="F52" t="str">
        <f t="shared" si="2"/>
        <v>Senior </v>
      </c>
      <c r="G52" s="2">
        <v>44949</v>
      </c>
      <c r="H52" t="str">
        <f t="shared" si="3"/>
        <v>January</v>
      </c>
      <c r="I52" t="s">
        <v>44</v>
      </c>
      <c r="J52" t="s">
        <v>62</v>
      </c>
      <c r="K52" t="s">
        <v>55</v>
      </c>
      <c r="L52" t="s">
        <v>28</v>
      </c>
      <c r="M52" t="s">
        <v>63</v>
      </c>
      <c r="N52">
        <v>1</v>
      </c>
      <c r="O52" t="s">
        <v>30</v>
      </c>
      <c r="P52">
        <v>555</v>
      </c>
      <c r="Q52" t="s">
        <v>68</v>
      </c>
      <c r="R52" t="s">
        <v>93</v>
      </c>
      <c r="S52">
        <v>1044</v>
      </c>
      <c r="T52" t="s">
        <v>33</v>
      </c>
      <c r="U52" t="b">
        <v>0</v>
      </c>
    </row>
    <row r="53" spans="1:21">
      <c r="A53">
        <v>52</v>
      </c>
      <c r="B53">
        <v>1052</v>
      </c>
      <c r="C53" t="s">
        <v>94</v>
      </c>
      <c r="D53" t="s">
        <v>22</v>
      </c>
      <c r="E53">
        <v>68</v>
      </c>
      <c r="F53" t="str">
        <f t="shared" si="2"/>
        <v>Senior </v>
      </c>
      <c r="G53" s="2">
        <v>44950</v>
      </c>
      <c r="H53" t="str">
        <f t="shared" si="3"/>
        <v>January</v>
      </c>
      <c r="I53" t="s">
        <v>44</v>
      </c>
      <c r="J53" t="s">
        <v>62</v>
      </c>
      <c r="K53" t="s">
        <v>59</v>
      </c>
      <c r="L53" t="s">
        <v>28</v>
      </c>
      <c r="M53" t="s">
        <v>63</v>
      </c>
      <c r="N53">
        <v>1</v>
      </c>
      <c r="O53" t="s">
        <v>30</v>
      </c>
      <c r="P53">
        <v>556</v>
      </c>
      <c r="Q53" t="s">
        <v>68</v>
      </c>
      <c r="R53" t="s">
        <v>95</v>
      </c>
      <c r="S53">
        <v>1045</v>
      </c>
      <c r="T53" t="s">
        <v>33</v>
      </c>
      <c r="U53" t="b">
        <v>0</v>
      </c>
    </row>
    <row r="54" spans="1:21">
      <c r="A54">
        <v>53</v>
      </c>
      <c r="B54">
        <v>1053</v>
      </c>
      <c r="C54" t="s">
        <v>96</v>
      </c>
      <c r="D54" t="s">
        <v>22</v>
      </c>
      <c r="E54">
        <v>73</v>
      </c>
      <c r="F54" t="str">
        <f t="shared" si="2"/>
        <v>Senior </v>
      </c>
      <c r="G54" s="2">
        <v>44951</v>
      </c>
      <c r="H54" t="str">
        <f t="shared" si="3"/>
        <v>January</v>
      </c>
      <c r="I54" t="s">
        <v>44</v>
      </c>
      <c r="J54" t="s">
        <v>62</v>
      </c>
      <c r="K54" t="s">
        <v>27</v>
      </c>
      <c r="L54" t="s">
        <v>28</v>
      </c>
      <c r="M54" t="s">
        <v>63</v>
      </c>
      <c r="N54">
        <v>1</v>
      </c>
      <c r="O54" t="s">
        <v>30</v>
      </c>
      <c r="P54">
        <v>557</v>
      </c>
      <c r="Q54" t="s">
        <v>68</v>
      </c>
      <c r="R54" t="s">
        <v>97</v>
      </c>
      <c r="S54">
        <v>1046</v>
      </c>
      <c r="T54" t="s">
        <v>33</v>
      </c>
      <c r="U54" t="b">
        <v>0</v>
      </c>
    </row>
    <row r="55" spans="1:21">
      <c r="A55">
        <v>54</v>
      </c>
      <c r="B55">
        <v>1054</v>
      </c>
      <c r="C55" t="s">
        <v>98</v>
      </c>
      <c r="D55" t="s">
        <v>22</v>
      </c>
      <c r="E55">
        <v>78</v>
      </c>
      <c r="F55" t="str">
        <f t="shared" si="2"/>
        <v>Senior </v>
      </c>
      <c r="G55" s="2">
        <v>44952</v>
      </c>
      <c r="H55" t="str">
        <f t="shared" si="3"/>
        <v>January</v>
      </c>
      <c r="I55" t="s">
        <v>44</v>
      </c>
      <c r="J55" t="s">
        <v>62</v>
      </c>
      <c r="K55" t="s">
        <v>35</v>
      </c>
      <c r="L55" t="s">
        <v>28</v>
      </c>
      <c r="M55" t="s">
        <v>63</v>
      </c>
      <c r="N55">
        <v>1</v>
      </c>
      <c r="O55" t="s">
        <v>30</v>
      </c>
      <c r="P55">
        <v>558</v>
      </c>
      <c r="Q55" t="s">
        <v>68</v>
      </c>
      <c r="R55" t="s">
        <v>99</v>
      </c>
      <c r="S55">
        <v>1047</v>
      </c>
      <c r="T55" t="s">
        <v>33</v>
      </c>
      <c r="U55" t="b">
        <v>0</v>
      </c>
    </row>
    <row r="56" spans="1:21">
      <c r="A56">
        <v>55</v>
      </c>
      <c r="B56">
        <v>1055</v>
      </c>
      <c r="C56" t="s">
        <v>100</v>
      </c>
      <c r="D56" t="s">
        <v>22</v>
      </c>
      <c r="E56">
        <v>31</v>
      </c>
      <c r="F56" t="str">
        <f t="shared" si="2"/>
        <v>Adult</v>
      </c>
      <c r="G56" s="2">
        <v>44953</v>
      </c>
      <c r="H56" t="str">
        <f t="shared" si="3"/>
        <v>January</v>
      </c>
      <c r="I56" t="s">
        <v>44</v>
      </c>
      <c r="J56" t="s">
        <v>62</v>
      </c>
      <c r="K56" t="s">
        <v>39</v>
      </c>
      <c r="L56" t="s">
        <v>28</v>
      </c>
      <c r="M56" t="s">
        <v>63</v>
      </c>
      <c r="N56">
        <v>1</v>
      </c>
      <c r="O56" t="s">
        <v>30</v>
      </c>
      <c r="P56">
        <v>559</v>
      </c>
      <c r="Q56" t="s">
        <v>68</v>
      </c>
      <c r="R56" t="s">
        <v>101</v>
      </c>
      <c r="S56">
        <v>1048</v>
      </c>
      <c r="T56" t="s">
        <v>33</v>
      </c>
      <c r="U56" t="b">
        <v>0</v>
      </c>
    </row>
    <row r="57" spans="1:21">
      <c r="A57">
        <v>56</v>
      </c>
      <c r="B57">
        <v>1056</v>
      </c>
      <c r="C57" t="s">
        <v>102</v>
      </c>
      <c r="D57" t="s">
        <v>22</v>
      </c>
      <c r="E57">
        <v>36</v>
      </c>
      <c r="F57" t="str">
        <f t="shared" si="2"/>
        <v>Adult</v>
      </c>
      <c r="G57" s="2">
        <v>44954</v>
      </c>
      <c r="H57" t="str">
        <f t="shared" si="3"/>
        <v>January</v>
      </c>
      <c r="I57" t="s">
        <v>44</v>
      </c>
      <c r="J57" t="s">
        <v>62</v>
      </c>
      <c r="K57" t="s">
        <v>45</v>
      </c>
      <c r="L57" t="s">
        <v>36</v>
      </c>
      <c r="M57" t="s">
        <v>63</v>
      </c>
      <c r="N57">
        <v>1</v>
      </c>
      <c r="O57" t="s">
        <v>30</v>
      </c>
      <c r="P57">
        <v>560</v>
      </c>
      <c r="Q57" t="s">
        <v>68</v>
      </c>
      <c r="R57" t="s">
        <v>103</v>
      </c>
      <c r="S57">
        <v>1049</v>
      </c>
      <c r="T57" t="s">
        <v>33</v>
      </c>
      <c r="U57" t="b">
        <v>0</v>
      </c>
    </row>
    <row r="58" spans="1:21">
      <c r="A58">
        <v>57</v>
      </c>
      <c r="B58">
        <v>1057</v>
      </c>
      <c r="C58" t="s">
        <v>104</v>
      </c>
      <c r="D58" t="s">
        <v>22</v>
      </c>
      <c r="E58">
        <v>41</v>
      </c>
      <c r="F58" t="str">
        <f t="shared" si="2"/>
        <v>Adult</v>
      </c>
      <c r="G58" s="2">
        <v>44955</v>
      </c>
      <c r="H58" t="str">
        <f t="shared" si="3"/>
        <v>January</v>
      </c>
      <c r="I58" t="s">
        <v>44</v>
      </c>
      <c r="J58" t="s">
        <v>62</v>
      </c>
      <c r="K58" t="s">
        <v>49</v>
      </c>
      <c r="L58" t="s">
        <v>105</v>
      </c>
      <c r="M58" t="s">
        <v>63</v>
      </c>
      <c r="N58">
        <v>1</v>
      </c>
      <c r="O58" t="s">
        <v>30</v>
      </c>
      <c r="P58">
        <v>667</v>
      </c>
      <c r="Q58" t="s">
        <v>68</v>
      </c>
      <c r="R58" t="s">
        <v>32</v>
      </c>
      <c r="S58">
        <v>1050</v>
      </c>
      <c r="T58" t="s">
        <v>33</v>
      </c>
      <c r="U58" t="b">
        <v>0</v>
      </c>
    </row>
    <row r="59" spans="1:21">
      <c r="A59">
        <v>58</v>
      </c>
      <c r="B59">
        <v>1058</v>
      </c>
      <c r="C59" t="s">
        <v>106</v>
      </c>
      <c r="D59" t="s">
        <v>22</v>
      </c>
      <c r="E59">
        <v>46</v>
      </c>
      <c r="F59" t="str">
        <f t="shared" si="2"/>
        <v>Adult</v>
      </c>
      <c r="G59" s="2">
        <v>44956</v>
      </c>
      <c r="H59" t="str">
        <f t="shared" si="3"/>
        <v>January</v>
      </c>
      <c r="I59" t="s">
        <v>44</v>
      </c>
      <c r="J59" t="s">
        <v>62</v>
      </c>
      <c r="K59" t="s">
        <v>52</v>
      </c>
      <c r="L59" t="s">
        <v>105</v>
      </c>
      <c r="M59" t="s">
        <v>63</v>
      </c>
      <c r="N59">
        <v>1</v>
      </c>
      <c r="O59" t="s">
        <v>30</v>
      </c>
      <c r="P59">
        <v>876</v>
      </c>
      <c r="Q59" t="s">
        <v>68</v>
      </c>
      <c r="R59" t="s">
        <v>37</v>
      </c>
      <c r="S59">
        <v>1051</v>
      </c>
      <c r="T59" t="s">
        <v>33</v>
      </c>
      <c r="U59" t="b">
        <v>0</v>
      </c>
    </row>
    <row r="60" spans="1:21">
      <c r="A60">
        <v>59</v>
      </c>
      <c r="B60">
        <v>1059</v>
      </c>
      <c r="C60" t="s">
        <v>107</v>
      </c>
      <c r="D60" t="s">
        <v>22</v>
      </c>
      <c r="E60">
        <v>51</v>
      </c>
      <c r="F60" t="str">
        <f t="shared" si="2"/>
        <v>Senior </v>
      </c>
      <c r="G60" s="2">
        <v>44957</v>
      </c>
      <c r="H60" t="str">
        <f t="shared" si="3"/>
        <v>January</v>
      </c>
      <c r="I60" t="s">
        <v>44</v>
      </c>
      <c r="J60" t="s">
        <v>62</v>
      </c>
      <c r="K60" t="s">
        <v>55</v>
      </c>
      <c r="L60" t="s">
        <v>105</v>
      </c>
      <c r="M60" t="s">
        <v>63</v>
      </c>
      <c r="N60">
        <v>1</v>
      </c>
      <c r="O60" t="s">
        <v>30</v>
      </c>
      <c r="P60">
        <v>900</v>
      </c>
      <c r="Q60" t="s">
        <v>68</v>
      </c>
      <c r="R60" t="s">
        <v>41</v>
      </c>
      <c r="S60">
        <v>1052</v>
      </c>
      <c r="T60" t="s">
        <v>33</v>
      </c>
      <c r="U60" t="b">
        <v>0</v>
      </c>
    </row>
    <row r="61" spans="1:21">
      <c r="A61">
        <v>60</v>
      </c>
      <c r="B61">
        <v>1060</v>
      </c>
      <c r="C61" t="s">
        <v>159</v>
      </c>
      <c r="D61" t="s">
        <v>22</v>
      </c>
      <c r="E61">
        <v>56</v>
      </c>
      <c r="F61" t="str">
        <f t="shared" si="2"/>
        <v>Senior </v>
      </c>
      <c r="G61" s="2">
        <v>44958</v>
      </c>
      <c r="H61" t="str">
        <f t="shared" si="3"/>
        <v>February</v>
      </c>
      <c r="I61" t="s">
        <v>44</v>
      </c>
      <c r="J61" t="s">
        <v>62</v>
      </c>
      <c r="K61" t="s">
        <v>59</v>
      </c>
      <c r="L61" t="s">
        <v>105</v>
      </c>
      <c r="M61" t="s">
        <v>63</v>
      </c>
      <c r="N61">
        <v>1</v>
      </c>
      <c r="O61" t="s">
        <v>30</v>
      </c>
      <c r="P61">
        <v>1245</v>
      </c>
      <c r="Q61" t="s">
        <v>68</v>
      </c>
      <c r="R61" t="s">
        <v>47</v>
      </c>
      <c r="S61">
        <v>1053</v>
      </c>
      <c r="T61" t="s">
        <v>33</v>
      </c>
      <c r="U61" t="b">
        <v>0</v>
      </c>
    </row>
    <row r="62" spans="1:21">
      <c r="A62">
        <v>61</v>
      </c>
      <c r="B62">
        <v>1061</v>
      </c>
      <c r="C62" t="s">
        <v>160</v>
      </c>
      <c r="D62" t="s">
        <v>22</v>
      </c>
      <c r="E62">
        <v>61</v>
      </c>
      <c r="F62" t="str">
        <f t="shared" si="2"/>
        <v>Senior </v>
      </c>
      <c r="G62" s="2">
        <v>44959</v>
      </c>
      <c r="H62" t="str">
        <f t="shared" si="3"/>
        <v>February</v>
      </c>
      <c r="I62" t="s">
        <v>44</v>
      </c>
      <c r="J62" t="s">
        <v>62</v>
      </c>
      <c r="K62" t="s">
        <v>27</v>
      </c>
      <c r="L62" t="s">
        <v>105</v>
      </c>
      <c r="M62" t="s">
        <v>63</v>
      </c>
      <c r="N62">
        <v>1</v>
      </c>
      <c r="O62" t="s">
        <v>30</v>
      </c>
      <c r="P62">
        <v>800</v>
      </c>
      <c r="Q62" t="s">
        <v>68</v>
      </c>
      <c r="R62" t="s">
        <v>50</v>
      </c>
      <c r="S62">
        <v>1054</v>
      </c>
      <c r="T62" t="s">
        <v>33</v>
      </c>
      <c r="U62" t="b">
        <v>0</v>
      </c>
    </row>
    <row r="63" spans="1:21">
      <c r="A63">
        <v>62</v>
      </c>
      <c r="B63">
        <v>1062</v>
      </c>
      <c r="C63" t="s">
        <v>161</v>
      </c>
      <c r="D63" t="s">
        <v>22</v>
      </c>
      <c r="E63">
        <v>66</v>
      </c>
      <c r="F63" t="str">
        <f t="shared" si="2"/>
        <v>Senior </v>
      </c>
      <c r="G63" s="2">
        <v>44960</v>
      </c>
      <c r="H63" t="str">
        <f t="shared" si="3"/>
        <v>February</v>
      </c>
      <c r="I63" t="s">
        <v>44</v>
      </c>
      <c r="J63" t="s">
        <v>62</v>
      </c>
      <c r="K63" t="s">
        <v>35</v>
      </c>
      <c r="L63" t="s">
        <v>105</v>
      </c>
      <c r="M63" t="s">
        <v>63</v>
      </c>
      <c r="N63">
        <v>1</v>
      </c>
      <c r="O63" t="s">
        <v>30</v>
      </c>
      <c r="P63">
        <v>340</v>
      </c>
      <c r="Q63" t="s">
        <v>68</v>
      </c>
      <c r="R63" t="s">
        <v>53</v>
      </c>
      <c r="S63">
        <v>1055</v>
      </c>
      <c r="T63" t="s">
        <v>33</v>
      </c>
      <c r="U63" t="b">
        <v>0</v>
      </c>
    </row>
    <row r="64" spans="1:21">
      <c r="A64">
        <v>63</v>
      </c>
      <c r="B64">
        <v>1063</v>
      </c>
      <c r="C64" t="s">
        <v>162</v>
      </c>
      <c r="D64" t="s">
        <v>22</v>
      </c>
      <c r="E64">
        <v>71</v>
      </c>
      <c r="F64" t="str">
        <f t="shared" si="2"/>
        <v>Senior </v>
      </c>
      <c r="G64" s="2">
        <v>44961</v>
      </c>
      <c r="H64" t="str">
        <f t="shared" si="3"/>
        <v>February</v>
      </c>
      <c r="I64" t="s">
        <v>44</v>
      </c>
      <c r="J64" t="s">
        <v>62</v>
      </c>
      <c r="K64" t="s">
        <v>39</v>
      </c>
      <c r="L64" t="s">
        <v>105</v>
      </c>
      <c r="M64" t="s">
        <v>63</v>
      </c>
      <c r="N64">
        <v>1</v>
      </c>
      <c r="O64" t="s">
        <v>30</v>
      </c>
      <c r="P64">
        <v>341</v>
      </c>
      <c r="Q64" t="s">
        <v>68</v>
      </c>
      <c r="R64" t="s">
        <v>56</v>
      </c>
      <c r="S64">
        <v>1056</v>
      </c>
      <c r="T64" t="s">
        <v>33</v>
      </c>
      <c r="U64" t="b">
        <v>0</v>
      </c>
    </row>
    <row r="65" spans="1:21">
      <c r="A65">
        <v>64</v>
      </c>
      <c r="B65">
        <v>1064</v>
      </c>
      <c r="C65" t="s">
        <v>163</v>
      </c>
      <c r="D65" t="s">
        <v>22</v>
      </c>
      <c r="E65">
        <v>76</v>
      </c>
      <c r="F65" t="str">
        <f t="shared" si="2"/>
        <v>Senior </v>
      </c>
      <c r="G65" s="2">
        <v>44962</v>
      </c>
      <c r="H65" t="str">
        <f t="shared" si="3"/>
        <v>February</v>
      </c>
      <c r="I65" t="s">
        <v>44</v>
      </c>
      <c r="J65" t="s">
        <v>62</v>
      </c>
      <c r="K65" t="s">
        <v>45</v>
      </c>
      <c r="L65" t="s">
        <v>105</v>
      </c>
      <c r="M65" t="s">
        <v>63</v>
      </c>
      <c r="N65">
        <v>1</v>
      </c>
      <c r="O65" t="s">
        <v>30</v>
      </c>
      <c r="P65">
        <v>342</v>
      </c>
      <c r="Q65" t="s">
        <v>68</v>
      </c>
      <c r="R65" t="s">
        <v>60</v>
      </c>
      <c r="S65">
        <v>1057</v>
      </c>
      <c r="T65" t="s">
        <v>33</v>
      </c>
      <c r="U65" t="b">
        <v>0</v>
      </c>
    </row>
    <row r="66" spans="1:21">
      <c r="A66">
        <v>65</v>
      </c>
      <c r="B66">
        <v>1065</v>
      </c>
      <c r="C66" t="s">
        <v>164</v>
      </c>
      <c r="D66" t="s">
        <v>22</v>
      </c>
      <c r="E66">
        <v>22</v>
      </c>
      <c r="F66" t="str">
        <f t="shared" si="2"/>
        <v>teen</v>
      </c>
      <c r="G66" s="2">
        <v>44963</v>
      </c>
      <c r="H66" t="str">
        <f t="shared" si="3"/>
        <v>February</v>
      </c>
      <c r="I66" t="s">
        <v>44</v>
      </c>
      <c r="J66" t="s">
        <v>62</v>
      </c>
      <c r="K66" t="s">
        <v>49</v>
      </c>
      <c r="L66" t="s">
        <v>105</v>
      </c>
      <c r="M66" t="s">
        <v>63</v>
      </c>
      <c r="N66">
        <v>1</v>
      </c>
      <c r="O66" t="s">
        <v>30</v>
      </c>
      <c r="P66">
        <v>343</v>
      </c>
      <c r="Q66" t="s">
        <v>68</v>
      </c>
      <c r="R66" t="s">
        <v>64</v>
      </c>
      <c r="S66">
        <v>1058</v>
      </c>
      <c r="T66" t="s">
        <v>33</v>
      </c>
      <c r="U66" t="b">
        <v>0</v>
      </c>
    </row>
    <row r="67" spans="1:21">
      <c r="A67">
        <v>66</v>
      </c>
      <c r="B67">
        <v>1066</v>
      </c>
      <c r="C67" t="s">
        <v>165</v>
      </c>
      <c r="D67" t="s">
        <v>22</v>
      </c>
      <c r="E67">
        <v>27</v>
      </c>
      <c r="F67" t="str">
        <f t="shared" ref="F67:F98" si="4">IF(E67&gt;=50,"Senior ",IF(E67&gt;30,"Adult","teen"))</f>
        <v>teen</v>
      </c>
      <c r="G67" s="2">
        <v>44964</v>
      </c>
      <c r="H67" t="str">
        <f t="shared" ref="H67:H98" si="5">TEXT(G67,"mmmm")</f>
        <v>February</v>
      </c>
      <c r="I67" t="s">
        <v>44</v>
      </c>
      <c r="J67" t="s">
        <v>62</v>
      </c>
      <c r="K67" t="s">
        <v>52</v>
      </c>
      <c r="L67" t="s">
        <v>105</v>
      </c>
      <c r="M67" t="s">
        <v>63</v>
      </c>
      <c r="N67">
        <v>1</v>
      </c>
      <c r="O67" t="s">
        <v>30</v>
      </c>
      <c r="P67">
        <v>344</v>
      </c>
      <c r="Q67" t="s">
        <v>68</v>
      </c>
      <c r="R67" t="s">
        <v>66</v>
      </c>
      <c r="S67">
        <v>1059</v>
      </c>
      <c r="T67" t="s">
        <v>33</v>
      </c>
      <c r="U67" t="b">
        <v>0</v>
      </c>
    </row>
    <row r="68" spans="1:21">
      <c r="A68">
        <v>67</v>
      </c>
      <c r="B68">
        <v>1067</v>
      </c>
      <c r="C68" t="s">
        <v>166</v>
      </c>
      <c r="D68" t="s">
        <v>22</v>
      </c>
      <c r="E68">
        <v>32</v>
      </c>
      <c r="F68" t="str">
        <f t="shared" si="4"/>
        <v>Adult</v>
      </c>
      <c r="G68" s="2">
        <v>44965</v>
      </c>
      <c r="H68" t="str">
        <f t="shared" si="5"/>
        <v>February</v>
      </c>
      <c r="I68" t="s">
        <v>44</v>
      </c>
      <c r="J68" t="s">
        <v>62</v>
      </c>
      <c r="K68" t="s">
        <v>55</v>
      </c>
      <c r="L68" t="s">
        <v>105</v>
      </c>
      <c r="M68" t="s">
        <v>63</v>
      </c>
      <c r="N68">
        <v>1</v>
      </c>
      <c r="O68" t="s">
        <v>30</v>
      </c>
      <c r="P68">
        <v>345</v>
      </c>
      <c r="Q68" t="s">
        <v>128</v>
      </c>
      <c r="R68" t="s">
        <v>69</v>
      </c>
      <c r="S68">
        <v>1060</v>
      </c>
      <c r="T68" t="s">
        <v>33</v>
      </c>
      <c r="U68" t="b">
        <v>0</v>
      </c>
    </row>
    <row r="69" spans="1:21">
      <c r="A69">
        <v>68</v>
      </c>
      <c r="B69">
        <v>1068</v>
      </c>
      <c r="C69" t="s">
        <v>167</v>
      </c>
      <c r="D69" t="s">
        <v>22</v>
      </c>
      <c r="E69">
        <v>37</v>
      </c>
      <c r="F69" t="str">
        <f t="shared" si="4"/>
        <v>Adult</v>
      </c>
      <c r="G69" s="2">
        <v>44966</v>
      </c>
      <c r="H69" t="str">
        <f t="shared" si="5"/>
        <v>February</v>
      </c>
      <c r="I69" t="s">
        <v>44</v>
      </c>
      <c r="J69" t="s">
        <v>62</v>
      </c>
      <c r="K69" t="s">
        <v>59</v>
      </c>
      <c r="L69" t="s">
        <v>105</v>
      </c>
      <c r="M69" t="s">
        <v>63</v>
      </c>
      <c r="N69">
        <v>1</v>
      </c>
      <c r="O69" t="s">
        <v>30</v>
      </c>
      <c r="P69">
        <v>346</v>
      </c>
      <c r="Q69" t="s">
        <v>128</v>
      </c>
      <c r="R69" t="s">
        <v>71</v>
      </c>
      <c r="S69">
        <v>1061</v>
      </c>
      <c r="T69" t="s">
        <v>33</v>
      </c>
      <c r="U69" t="b">
        <v>0</v>
      </c>
    </row>
    <row r="70" spans="1:21">
      <c r="A70">
        <v>69</v>
      </c>
      <c r="B70">
        <v>1069</v>
      </c>
      <c r="C70" t="s">
        <v>168</v>
      </c>
      <c r="D70" t="s">
        <v>22</v>
      </c>
      <c r="E70">
        <v>42</v>
      </c>
      <c r="F70" t="str">
        <f t="shared" si="4"/>
        <v>Adult</v>
      </c>
      <c r="G70" s="2">
        <v>44967</v>
      </c>
      <c r="H70" t="str">
        <f t="shared" si="5"/>
        <v>February</v>
      </c>
      <c r="I70" t="s">
        <v>44</v>
      </c>
      <c r="J70" t="s">
        <v>62</v>
      </c>
      <c r="K70" t="s">
        <v>27</v>
      </c>
      <c r="L70" t="s">
        <v>105</v>
      </c>
      <c r="M70" t="s">
        <v>63</v>
      </c>
      <c r="N70">
        <v>1</v>
      </c>
      <c r="O70" t="s">
        <v>30</v>
      </c>
      <c r="P70">
        <v>347</v>
      </c>
      <c r="Q70" t="s">
        <v>128</v>
      </c>
      <c r="R70" t="s">
        <v>73</v>
      </c>
      <c r="S70">
        <v>1062</v>
      </c>
      <c r="T70" t="s">
        <v>33</v>
      </c>
      <c r="U70" t="b">
        <v>0</v>
      </c>
    </row>
    <row r="71" spans="1:21">
      <c r="A71">
        <v>70</v>
      </c>
      <c r="B71">
        <v>1070</v>
      </c>
      <c r="C71" t="s">
        <v>169</v>
      </c>
      <c r="D71" t="s">
        <v>22</v>
      </c>
      <c r="E71">
        <v>47</v>
      </c>
      <c r="F71" t="str">
        <f t="shared" si="4"/>
        <v>Adult</v>
      </c>
      <c r="G71" s="2">
        <v>44968</v>
      </c>
      <c r="H71" t="str">
        <f t="shared" si="5"/>
        <v>February</v>
      </c>
      <c r="I71" t="s">
        <v>44</v>
      </c>
      <c r="J71" t="s">
        <v>126</v>
      </c>
      <c r="K71" t="s">
        <v>35</v>
      </c>
      <c r="L71" t="s">
        <v>105</v>
      </c>
      <c r="M71" t="s">
        <v>63</v>
      </c>
      <c r="N71">
        <v>1</v>
      </c>
      <c r="O71" t="s">
        <v>30</v>
      </c>
      <c r="P71">
        <v>348</v>
      </c>
      <c r="Q71" t="s">
        <v>128</v>
      </c>
      <c r="R71" t="s">
        <v>75</v>
      </c>
      <c r="S71">
        <v>1063</v>
      </c>
      <c r="T71" t="s">
        <v>33</v>
      </c>
      <c r="U71" t="b">
        <v>0</v>
      </c>
    </row>
    <row r="72" spans="1:21">
      <c r="A72">
        <v>71</v>
      </c>
      <c r="B72">
        <v>1071</v>
      </c>
      <c r="C72" t="s">
        <v>170</v>
      </c>
      <c r="D72" t="s">
        <v>22</v>
      </c>
      <c r="E72">
        <v>52</v>
      </c>
      <c r="F72" t="str">
        <f t="shared" si="4"/>
        <v>Senior </v>
      </c>
      <c r="G72" s="2">
        <v>44969</v>
      </c>
      <c r="H72" t="str">
        <f t="shared" si="5"/>
        <v>February</v>
      </c>
      <c r="I72" t="s">
        <v>44</v>
      </c>
      <c r="J72" t="s">
        <v>26</v>
      </c>
      <c r="K72" t="s">
        <v>39</v>
      </c>
      <c r="L72" t="s">
        <v>105</v>
      </c>
      <c r="M72" t="s">
        <v>63</v>
      </c>
      <c r="N72">
        <v>1</v>
      </c>
      <c r="O72" t="s">
        <v>30</v>
      </c>
      <c r="P72">
        <v>349</v>
      </c>
      <c r="Q72" t="s">
        <v>128</v>
      </c>
      <c r="R72" t="s">
        <v>77</v>
      </c>
      <c r="S72">
        <v>1064</v>
      </c>
      <c r="T72" t="s">
        <v>33</v>
      </c>
      <c r="U72" t="b">
        <v>0</v>
      </c>
    </row>
    <row r="73" spans="1:21">
      <c r="A73">
        <v>72</v>
      </c>
      <c r="B73">
        <v>1072</v>
      </c>
      <c r="C73" t="s">
        <v>171</v>
      </c>
      <c r="D73" t="s">
        <v>22</v>
      </c>
      <c r="E73">
        <v>57</v>
      </c>
      <c r="F73" t="str">
        <f t="shared" si="4"/>
        <v>Senior </v>
      </c>
      <c r="G73" s="2">
        <v>44970</v>
      </c>
      <c r="H73" t="str">
        <f t="shared" si="5"/>
        <v>February</v>
      </c>
      <c r="I73" t="s">
        <v>44</v>
      </c>
      <c r="J73" t="s">
        <v>172</v>
      </c>
      <c r="K73" t="s">
        <v>45</v>
      </c>
      <c r="L73" t="s">
        <v>105</v>
      </c>
      <c r="M73" t="s">
        <v>63</v>
      </c>
      <c r="N73">
        <v>1</v>
      </c>
      <c r="O73" t="s">
        <v>30</v>
      </c>
      <c r="P73">
        <v>350</v>
      </c>
      <c r="Q73" t="s">
        <v>128</v>
      </c>
      <c r="R73" t="s">
        <v>79</v>
      </c>
      <c r="S73">
        <v>1065</v>
      </c>
      <c r="T73" t="s">
        <v>33</v>
      </c>
      <c r="U73" t="b">
        <v>0</v>
      </c>
    </row>
    <row r="74" spans="1:21">
      <c r="A74">
        <v>73</v>
      </c>
      <c r="B74">
        <v>1073</v>
      </c>
      <c r="C74" t="s">
        <v>173</v>
      </c>
      <c r="D74" t="s">
        <v>22</v>
      </c>
      <c r="E74">
        <v>62</v>
      </c>
      <c r="F74" t="str">
        <f t="shared" si="4"/>
        <v>Senior </v>
      </c>
      <c r="G74" s="2">
        <v>44971</v>
      </c>
      <c r="H74" t="str">
        <f t="shared" si="5"/>
        <v>February</v>
      </c>
      <c r="I74" t="s">
        <v>44</v>
      </c>
      <c r="J74" t="s">
        <v>174</v>
      </c>
      <c r="K74" t="s">
        <v>49</v>
      </c>
      <c r="L74" t="s">
        <v>105</v>
      </c>
      <c r="M74" t="s">
        <v>63</v>
      </c>
      <c r="N74">
        <v>1</v>
      </c>
      <c r="O74" t="s">
        <v>30</v>
      </c>
      <c r="P74">
        <v>351</v>
      </c>
      <c r="Q74" t="s">
        <v>128</v>
      </c>
      <c r="R74" t="s">
        <v>81</v>
      </c>
      <c r="S74">
        <v>1066</v>
      </c>
      <c r="T74" t="s">
        <v>33</v>
      </c>
      <c r="U74" t="b">
        <v>0</v>
      </c>
    </row>
    <row r="75" spans="1:21">
      <c r="A75">
        <v>74</v>
      </c>
      <c r="B75">
        <v>1074</v>
      </c>
      <c r="C75" t="s">
        <v>175</v>
      </c>
      <c r="D75" t="s">
        <v>22</v>
      </c>
      <c r="E75">
        <v>67</v>
      </c>
      <c r="F75" t="str">
        <f t="shared" si="4"/>
        <v>Senior </v>
      </c>
      <c r="G75" s="2">
        <v>44972</v>
      </c>
      <c r="H75" t="str">
        <f t="shared" si="5"/>
        <v>February</v>
      </c>
      <c r="I75" t="s">
        <v>44</v>
      </c>
      <c r="J75" t="s">
        <v>174</v>
      </c>
      <c r="K75" t="s">
        <v>52</v>
      </c>
      <c r="L75" t="s">
        <v>36</v>
      </c>
      <c r="M75" t="s">
        <v>63</v>
      </c>
      <c r="N75">
        <v>1</v>
      </c>
      <c r="O75" t="s">
        <v>30</v>
      </c>
      <c r="P75">
        <v>352</v>
      </c>
      <c r="Q75" t="s">
        <v>128</v>
      </c>
      <c r="R75" t="s">
        <v>83</v>
      </c>
      <c r="S75">
        <v>1067</v>
      </c>
      <c r="T75" t="s">
        <v>33</v>
      </c>
      <c r="U75" t="b">
        <v>0</v>
      </c>
    </row>
    <row r="76" spans="1:21">
      <c r="A76">
        <v>75</v>
      </c>
      <c r="B76">
        <v>1075</v>
      </c>
      <c r="C76" t="s">
        <v>176</v>
      </c>
      <c r="D76" t="s">
        <v>22</v>
      </c>
      <c r="E76">
        <v>72</v>
      </c>
      <c r="F76" t="str">
        <f t="shared" si="4"/>
        <v>Senior </v>
      </c>
      <c r="G76" s="2">
        <v>44973</v>
      </c>
      <c r="H76" t="str">
        <f t="shared" si="5"/>
        <v>February</v>
      </c>
      <c r="I76" t="s">
        <v>44</v>
      </c>
      <c r="J76" t="s">
        <v>174</v>
      </c>
      <c r="K76" t="s">
        <v>55</v>
      </c>
      <c r="L76" t="s">
        <v>46</v>
      </c>
      <c r="M76" t="s">
        <v>63</v>
      </c>
      <c r="N76">
        <v>1</v>
      </c>
      <c r="O76" t="s">
        <v>30</v>
      </c>
      <c r="P76">
        <v>353</v>
      </c>
      <c r="Q76" t="s">
        <v>128</v>
      </c>
      <c r="R76" t="s">
        <v>85</v>
      </c>
      <c r="S76">
        <v>1068</v>
      </c>
      <c r="T76" t="s">
        <v>33</v>
      </c>
      <c r="U76" t="b">
        <v>0</v>
      </c>
    </row>
    <row r="77" spans="1:21">
      <c r="A77">
        <v>76</v>
      </c>
      <c r="B77">
        <v>1076</v>
      </c>
      <c r="C77" t="s">
        <v>177</v>
      </c>
      <c r="D77" t="s">
        <v>22</v>
      </c>
      <c r="E77">
        <v>77</v>
      </c>
      <c r="F77" t="str">
        <f t="shared" si="4"/>
        <v>Senior </v>
      </c>
      <c r="G77" s="2">
        <v>44974</v>
      </c>
      <c r="H77" t="str">
        <f t="shared" si="5"/>
        <v>February</v>
      </c>
      <c r="I77" t="s">
        <v>44</v>
      </c>
      <c r="J77" t="s">
        <v>174</v>
      </c>
      <c r="K77" t="s">
        <v>59</v>
      </c>
      <c r="L77" t="s">
        <v>28</v>
      </c>
      <c r="M77" t="s">
        <v>63</v>
      </c>
      <c r="N77">
        <v>1</v>
      </c>
      <c r="O77" t="s">
        <v>30</v>
      </c>
      <c r="P77">
        <v>354</v>
      </c>
      <c r="Q77" t="s">
        <v>128</v>
      </c>
      <c r="R77" t="s">
        <v>87</v>
      </c>
      <c r="S77">
        <v>1069</v>
      </c>
      <c r="T77" t="s">
        <v>33</v>
      </c>
      <c r="U77" t="b">
        <v>0</v>
      </c>
    </row>
    <row r="78" spans="1:21">
      <c r="A78">
        <v>77</v>
      </c>
      <c r="B78">
        <v>1077</v>
      </c>
      <c r="C78" t="s">
        <v>178</v>
      </c>
      <c r="D78" t="s">
        <v>22</v>
      </c>
      <c r="E78">
        <v>23</v>
      </c>
      <c r="F78" t="str">
        <f t="shared" si="4"/>
        <v>teen</v>
      </c>
      <c r="G78" s="2">
        <v>44975</v>
      </c>
      <c r="H78" t="str">
        <f t="shared" si="5"/>
        <v>February</v>
      </c>
      <c r="I78" t="s">
        <v>44</v>
      </c>
      <c r="J78" t="s">
        <v>174</v>
      </c>
      <c r="K78" t="s">
        <v>27</v>
      </c>
      <c r="L78" t="s">
        <v>40</v>
      </c>
      <c r="M78" t="s">
        <v>63</v>
      </c>
      <c r="N78">
        <v>1</v>
      </c>
      <c r="O78" t="s">
        <v>30</v>
      </c>
      <c r="P78">
        <v>355</v>
      </c>
      <c r="Q78" t="s">
        <v>128</v>
      </c>
      <c r="R78" t="s">
        <v>89</v>
      </c>
      <c r="S78">
        <v>1070</v>
      </c>
      <c r="T78" t="s">
        <v>33</v>
      </c>
      <c r="U78" t="b">
        <v>0</v>
      </c>
    </row>
    <row r="79" spans="1:21">
      <c r="A79">
        <v>78</v>
      </c>
      <c r="B79">
        <v>1078</v>
      </c>
      <c r="C79" t="s">
        <v>179</v>
      </c>
      <c r="D79" t="s">
        <v>22</v>
      </c>
      <c r="E79">
        <v>28</v>
      </c>
      <c r="F79" t="str">
        <f t="shared" si="4"/>
        <v>teen</v>
      </c>
      <c r="G79" s="2">
        <v>44976</v>
      </c>
      <c r="H79" t="str">
        <f t="shared" si="5"/>
        <v>February</v>
      </c>
      <c r="I79" t="s">
        <v>44</v>
      </c>
      <c r="J79" t="s">
        <v>174</v>
      </c>
      <c r="K79" t="s">
        <v>35</v>
      </c>
      <c r="L79" t="s">
        <v>40</v>
      </c>
      <c r="M79" t="s">
        <v>63</v>
      </c>
      <c r="N79">
        <v>1</v>
      </c>
      <c r="O79" t="s">
        <v>30</v>
      </c>
      <c r="P79">
        <v>356</v>
      </c>
      <c r="Q79" t="s">
        <v>128</v>
      </c>
      <c r="R79" t="s">
        <v>91</v>
      </c>
      <c r="S79">
        <v>1071</v>
      </c>
      <c r="T79" t="s">
        <v>33</v>
      </c>
      <c r="U79" t="b">
        <v>0</v>
      </c>
    </row>
    <row r="80" spans="1:21">
      <c r="A80">
        <v>79</v>
      </c>
      <c r="B80">
        <v>1079</v>
      </c>
      <c r="C80" t="s">
        <v>180</v>
      </c>
      <c r="D80" t="s">
        <v>22</v>
      </c>
      <c r="E80">
        <v>33</v>
      </c>
      <c r="F80" t="str">
        <f t="shared" si="4"/>
        <v>Adult</v>
      </c>
      <c r="G80" s="2">
        <v>44977</v>
      </c>
      <c r="H80" t="str">
        <f t="shared" si="5"/>
        <v>February</v>
      </c>
      <c r="I80" t="s">
        <v>44</v>
      </c>
      <c r="J80" t="s">
        <v>126</v>
      </c>
      <c r="K80" t="s">
        <v>39</v>
      </c>
      <c r="L80" t="s">
        <v>40</v>
      </c>
      <c r="M80" t="s">
        <v>63</v>
      </c>
      <c r="N80">
        <v>1</v>
      </c>
      <c r="O80" t="s">
        <v>30</v>
      </c>
      <c r="P80">
        <v>357</v>
      </c>
      <c r="Q80" t="s">
        <v>128</v>
      </c>
      <c r="R80" t="s">
        <v>93</v>
      </c>
      <c r="S80">
        <v>1072</v>
      </c>
      <c r="T80" t="s">
        <v>33</v>
      </c>
      <c r="U80" t="b">
        <v>0</v>
      </c>
    </row>
    <row r="81" spans="1:21">
      <c r="A81">
        <v>80</v>
      </c>
      <c r="B81">
        <v>1080</v>
      </c>
      <c r="C81" t="s">
        <v>181</v>
      </c>
      <c r="D81" t="s">
        <v>22</v>
      </c>
      <c r="E81">
        <v>38</v>
      </c>
      <c r="F81" t="str">
        <f t="shared" si="4"/>
        <v>Adult</v>
      </c>
      <c r="G81" s="2">
        <v>44978</v>
      </c>
      <c r="H81" t="str">
        <f t="shared" si="5"/>
        <v>February</v>
      </c>
      <c r="I81" t="s">
        <v>44</v>
      </c>
      <c r="J81" t="s">
        <v>156</v>
      </c>
      <c r="K81" t="s">
        <v>45</v>
      </c>
      <c r="L81" t="s">
        <v>40</v>
      </c>
      <c r="M81" t="s">
        <v>63</v>
      </c>
      <c r="N81">
        <v>1</v>
      </c>
      <c r="O81" t="s">
        <v>30</v>
      </c>
      <c r="P81">
        <v>358</v>
      </c>
      <c r="Q81" t="s">
        <v>128</v>
      </c>
      <c r="R81" t="s">
        <v>95</v>
      </c>
      <c r="S81">
        <v>1073</v>
      </c>
      <c r="T81" t="s">
        <v>33</v>
      </c>
      <c r="U81" t="b">
        <v>0</v>
      </c>
    </row>
    <row r="82" spans="1:21">
      <c r="A82">
        <v>81</v>
      </c>
      <c r="B82">
        <v>1081</v>
      </c>
      <c r="C82" t="s">
        <v>182</v>
      </c>
      <c r="D82" t="s">
        <v>22</v>
      </c>
      <c r="E82">
        <v>43</v>
      </c>
      <c r="F82" t="str">
        <f t="shared" si="4"/>
        <v>Adult</v>
      </c>
      <c r="G82" s="2">
        <v>44979</v>
      </c>
      <c r="H82" t="str">
        <f t="shared" si="5"/>
        <v>February</v>
      </c>
      <c r="I82" t="s">
        <v>44</v>
      </c>
      <c r="J82" t="s">
        <v>62</v>
      </c>
      <c r="K82" t="s">
        <v>49</v>
      </c>
      <c r="L82" t="s">
        <v>40</v>
      </c>
      <c r="M82" t="s">
        <v>63</v>
      </c>
      <c r="N82">
        <v>1</v>
      </c>
      <c r="O82" t="s">
        <v>30</v>
      </c>
      <c r="P82">
        <v>359</v>
      </c>
      <c r="Q82" t="s">
        <v>128</v>
      </c>
      <c r="R82" t="s">
        <v>97</v>
      </c>
      <c r="S82">
        <v>1074</v>
      </c>
      <c r="T82" t="s">
        <v>33</v>
      </c>
      <c r="U82" t="b">
        <v>0</v>
      </c>
    </row>
    <row r="83" spans="1:21">
      <c r="A83">
        <v>82</v>
      </c>
      <c r="B83">
        <v>1082</v>
      </c>
      <c r="C83" t="s">
        <v>183</v>
      </c>
      <c r="D83" t="s">
        <v>22</v>
      </c>
      <c r="E83">
        <v>48</v>
      </c>
      <c r="F83" t="str">
        <f t="shared" si="4"/>
        <v>Adult</v>
      </c>
      <c r="G83" s="2">
        <v>44980</v>
      </c>
      <c r="H83" t="str">
        <f t="shared" si="5"/>
        <v>February</v>
      </c>
      <c r="I83" t="s">
        <v>44</v>
      </c>
      <c r="J83" t="s">
        <v>141</v>
      </c>
      <c r="K83" t="s">
        <v>52</v>
      </c>
      <c r="L83" t="s">
        <v>40</v>
      </c>
      <c r="M83" t="s">
        <v>63</v>
      </c>
      <c r="N83">
        <v>1</v>
      </c>
      <c r="O83" t="s">
        <v>30</v>
      </c>
      <c r="P83">
        <v>360</v>
      </c>
      <c r="Q83" t="s">
        <v>128</v>
      </c>
      <c r="R83" t="s">
        <v>99</v>
      </c>
      <c r="S83">
        <v>1075</v>
      </c>
      <c r="T83" t="s">
        <v>33</v>
      </c>
      <c r="U83" t="b">
        <v>0</v>
      </c>
    </row>
    <row r="84" spans="1:21">
      <c r="A84">
        <v>83</v>
      </c>
      <c r="B84">
        <v>1083</v>
      </c>
      <c r="C84" t="s">
        <v>184</v>
      </c>
      <c r="D84" t="s">
        <v>22</v>
      </c>
      <c r="E84">
        <v>53</v>
      </c>
      <c r="F84" t="str">
        <f t="shared" si="4"/>
        <v>Senior </v>
      </c>
      <c r="G84" s="2">
        <v>44981</v>
      </c>
      <c r="H84" t="str">
        <f t="shared" si="5"/>
        <v>February</v>
      </c>
      <c r="I84" t="s">
        <v>44</v>
      </c>
      <c r="J84" t="s">
        <v>172</v>
      </c>
      <c r="K84" t="s">
        <v>55</v>
      </c>
      <c r="L84" t="s">
        <v>40</v>
      </c>
      <c r="M84" t="s">
        <v>63</v>
      </c>
      <c r="N84">
        <v>1</v>
      </c>
      <c r="O84" t="s">
        <v>30</v>
      </c>
      <c r="P84">
        <v>361</v>
      </c>
      <c r="Q84" t="s">
        <v>128</v>
      </c>
      <c r="R84" t="s">
        <v>101</v>
      </c>
      <c r="S84">
        <v>1076</v>
      </c>
      <c r="T84" t="s">
        <v>33</v>
      </c>
      <c r="U84" t="b">
        <v>0</v>
      </c>
    </row>
    <row r="85" spans="1:21">
      <c r="A85">
        <v>84</v>
      </c>
      <c r="B85">
        <v>1084</v>
      </c>
      <c r="C85" t="s">
        <v>185</v>
      </c>
      <c r="D85" t="s">
        <v>22</v>
      </c>
      <c r="E85">
        <v>58</v>
      </c>
      <c r="F85" t="str">
        <f t="shared" si="4"/>
        <v>Senior </v>
      </c>
      <c r="G85" s="2">
        <v>44982</v>
      </c>
      <c r="H85" t="str">
        <f t="shared" si="5"/>
        <v>February</v>
      </c>
      <c r="I85" t="s">
        <v>119</v>
      </c>
      <c r="J85" t="s">
        <v>172</v>
      </c>
      <c r="K85" t="s">
        <v>59</v>
      </c>
      <c r="L85" t="s">
        <v>40</v>
      </c>
      <c r="M85" t="s">
        <v>63</v>
      </c>
      <c r="N85">
        <v>1</v>
      </c>
      <c r="O85" t="s">
        <v>30</v>
      </c>
      <c r="P85">
        <v>362</v>
      </c>
      <c r="Q85" t="s">
        <v>128</v>
      </c>
      <c r="R85" t="s">
        <v>103</v>
      </c>
      <c r="S85">
        <v>1077</v>
      </c>
      <c r="T85" t="s">
        <v>33</v>
      </c>
      <c r="U85" t="b">
        <v>0</v>
      </c>
    </row>
    <row r="86" spans="1:21">
      <c r="A86">
        <v>85</v>
      </c>
      <c r="B86">
        <v>1085</v>
      </c>
      <c r="C86" t="s">
        <v>186</v>
      </c>
      <c r="D86" t="s">
        <v>22</v>
      </c>
      <c r="E86">
        <v>63</v>
      </c>
      <c r="F86" t="str">
        <f t="shared" si="4"/>
        <v>Senior </v>
      </c>
      <c r="G86" s="2">
        <v>44983</v>
      </c>
      <c r="H86" t="str">
        <f t="shared" si="5"/>
        <v>February</v>
      </c>
      <c r="I86" t="s">
        <v>119</v>
      </c>
      <c r="J86" t="s">
        <v>172</v>
      </c>
      <c r="K86" t="s">
        <v>27</v>
      </c>
      <c r="L86" t="s">
        <v>40</v>
      </c>
      <c r="M86" t="s">
        <v>63</v>
      </c>
      <c r="N86">
        <v>1</v>
      </c>
      <c r="O86" t="s">
        <v>30</v>
      </c>
      <c r="P86">
        <v>363</v>
      </c>
      <c r="Q86" t="s">
        <v>128</v>
      </c>
      <c r="R86" t="s">
        <v>32</v>
      </c>
      <c r="S86">
        <v>1078</v>
      </c>
      <c r="T86" t="s">
        <v>33</v>
      </c>
      <c r="U86" t="b">
        <v>0</v>
      </c>
    </row>
    <row r="87" spans="1:21">
      <c r="A87">
        <v>86</v>
      </c>
      <c r="B87">
        <v>1086</v>
      </c>
      <c r="C87" t="s">
        <v>187</v>
      </c>
      <c r="D87" t="s">
        <v>22</v>
      </c>
      <c r="E87">
        <v>68</v>
      </c>
      <c r="F87" t="str">
        <f t="shared" si="4"/>
        <v>Senior </v>
      </c>
      <c r="G87" s="2">
        <v>44984</v>
      </c>
      <c r="H87" t="str">
        <f t="shared" si="5"/>
        <v>February</v>
      </c>
      <c r="I87" t="s">
        <v>119</v>
      </c>
      <c r="J87" t="s">
        <v>172</v>
      </c>
      <c r="K87" t="s">
        <v>35</v>
      </c>
      <c r="L87" t="s">
        <v>36</v>
      </c>
      <c r="M87" t="s">
        <v>63</v>
      </c>
      <c r="N87">
        <v>1</v>
      </c>
      <c r="O87" t="s">
        <v>30</v>
      </c>
      <c r="P87">
        <v>364</v>
      </c>
      <c r="Q87" t="s">
        <v>128</v>
      </c>
      <c r="R87" t="s">
        <v>37</v>
      </c>
      <c r="S87">
        <v>1079</v>
      </c>
      <c r="T87" t="s">
        <v>33</v>
      </c>
      <c r="U87" t="b">
        <v>0</v>
      </c>
    </row>
    <row r="88" spans="1:21">
      <c r="A88">
        <v>87</v>
      </c>
      <c r="B88">
        <v>1087</v>
      </c>
      <c r="C88" t="s">
        <v>188</v>
      </c>
      <c r="D88" t="s">
        <v>22</v>
      </c>
      <c r="E88">
        <v>73</v>
      </c>
      <c r="F88" t="str">
        <f t="shared" si="4"/>
        <v>Senior </v>
      </c>
      <c r="G88" s="2">
        <v>44985</v>
      </c>
      <c r="H88" t="str">
        <f t="shared" si="5"/>
        <v>February</v>
      </c>
      <c r="I88" t="s">
        <v>119</v>
      </c>
      <c r="J88" t="s">
        <v>172</v>
      </c>
      <c r="K88" t="s">
        <v>39</v>
      </c>
      <c r="L88" t="s">
        <v>40</v>
      </c>
      <c r="M88" t="s">
        <v>63</v>
      </c>
      <c r="N88">
        <v>1</v>
      </c>
      <c r="O88" t="s">
        <v>30</v>
      </c>
      <c r="P88">
        <v>365</v>
      </c>
      <c r="Q88" t="s">
        <v>128</v>
      </c>
      <c r="R88" t="s">
        <v>41</v>
      </c>
      <c r="S88">
        <v>1080</v>
      </c>
      <c r="T88" t="s">
        <v>33</v>
      </c>
      <c r="U88" t="b">
        <v>0</v>
      </c>
    </row>
    <row r="89" spans="1:21">
      <c r="A89">
        <v>88</v>
      </c>
      <c r="B89">
        <v>1088</v>
      </c>
      <c r="C89" t="s">
        <v>189</v>
      </c>
      <c r="D89" t="s">
        <v>22</v>
      </c>
      <c r="E89">
        <v>78</v>
      </c>
      <c r="F89" t="str">
        <f t="shared" si="4"/>
        <v>Senior </v>
      </c>
      <c r="G89" s="2">
        <v>44986</v>
      </c>
      <c r="H89" t="str">
        <f t="shared" si="5"/>
        <v>March</v>
      </c>
      <c r="I89" t="s">
        <v>119</v>
      </c>
      <c r="J89" t="s">
        <v>172</v>
      </c>
      <c r="K89" t="s">
        <v>45</v>
      </c>
      <c r="L89" t="s">
        <v>28</v>
      </c>
      <c r="M89" t="s">
        <v>63</v>
      </c>
      <c r="N89">
        <v>1</v>
      </c>
      <c r="O89" t="s">
        <v>30</v>
      </c>
      <c r="P89">
        <v>366</v>
      </c>
      <c r="Q89" t="s">
        <v>128</v>
      </c>
      <c r="R89" t="s">
        <v>47</v>
      </c>
      <c r="S89">
        <v>1081</v>
      </c>
      <c r="T89" t="s">
        <v>33</v>
      </c>
      <c r="U89" t="b">
        <v>0</v>
      </c>
    </row>
    <row r="90" spans="1:21">
      <c r="A90">
        <v>89</v>
      </c>
      <c r="B90">
        <v>1089</v>
      </c>
      <c r="C90" t="s">
        <v>190</v>
      </c>
      <c r="D90" t="s">
        <v>22</v>
      </c>
      <c r="E90">
        <v>24</v>
      </c>
      <c r="F90" t="str">
        <f t="shared" si="4"/>
        <v>teen</v>
      </c>
      <c r="G90" s="2">
        <v>44987</v>
      </c>
      <c r="H90" t="str">
        <f t="shared" si="5"/>
        <v>March</v>
      </c>
      <c r="I90" t="s">
        <v>119</v>
      </c>
      <c r="J90" t="s">
        <v>172</v>
      </c>
      <c r="K90" t="s">
        <v>49</v>
      </c>
      <c r="L90" t="s">
        <v>105</v>
      </c>
      <c r="M90" t="s">
        <v>63</v>
      </c>
      <c r="N90">
        <v>1</v>
      </c>
      <c r="O90" t="s">
        <v>30</v>
      </c>
      <c r="P90">
        <v>367</v>
      </c>
      <c r="Q90" t="s">
        <v>128</v>
      </c>
      <c r="R90" t="s">
        <v>50</v>
      </c>
      <c r="S90">
        <v>1082</v>
      </c>
      <c r="T90" t="s">
        <v>33</v>
      </c>
      <c r="U90" t="b">
        <v>0</v>
      </c>
    </row>
    <row r="91" spans="1:21">
      <c r="A91">
        <v>90</v>
      </c>
      <c r="B91">
        <v>1090</v>
      </c>
      <c r="C91" t="s">
        <v>191</v>
      </c>
      <c r="D91" t="s">
        <v>22</v>
      </c>
      <c r="E91">
        <v>29</v>
      </c>
      <c r="F91" t="str">
        <f t="shared" si="4"/>
        <v>teen</v>
      </c>
      <c r="G91" s="2">
        <v>44988</v>
      </c>
      <c r="H91" t="str">
        <f t="shared" si="5"/>
        <v>March</v>
      </c>
      <c r="I91" t="s">
        <v>119</v>
      </c>
      <c r="J91" t="s">
        <v>172</v>
      </c>
      <c r="K91" t="s">
        <v>52</v>
      </c>
      <c r="L91" t="s">
        <v>36</v>
      </c>
      <c r="M91" t="s">
        <v>63</v>
      </c>
      <c r="N91">
        <v>1</v>
      </c>
      <c r="O91" t="s">
        <v>30</v>
      </c>
      <c r="P91">
        <v>368</v>
      </c>
      <c r="Q91" t="s">
        <v>128</v>
      </c>
      <c r="R91" t="s">
        <v>53</v>
      </c>
      <c r="S91">
        <v>1083</v>
      </c>
      <c r="T91" t="s">
        <v>33</v>
      </c>
      <c r="U91" t="b">
        <v>0</v>
      </c>
    </row>
    <row r="92" spans="1:21">
      <c r="A92">
        <v>91</v>
      </c>
      <c r="B92">
        <v>1091</v>
      </c>
      <c r="C92" t="s">
        <v>192</v>
      </c>
      <c r="D92" t="s">
        <v>22</v>
      </c>
      <c r="E92">
        <v>34</v>
      </c>
      <c r="F92" t="str">
        <f t="shared" si="4"/>
        <v>Adult</v>
      </c>
      <c r="G92" s="2">
        <v>44989</v>
      </c>
      <c r="H92" t="str">
        <f t="shared" si="5"/>
        <v>March</v>
      </c>
      <c r="I92" t="s">
        <v>119</v>
      </c>
      <c r="J92" t="s">
        <v>172</v>
      </c>
      <c r="K92" t="s">
        <v>55</v>
      </c>
      <c r="L92" t="s">
        <v>36</v>
      </c>
      <c r="M92" t="s">
        <v>63</v>
      </c>
      <c r="N92">
        <v>1</v>
      </c>
      <c r="O92" t="s">
        <v>30</v>
      </c>
      <c r="P92">
        <v>369</v>
      </c>
      <c r="Q92" t="s">
        <v>128</v>
      </c>
      <c r="R92" t="s">
        <v>56</v>
      </c>
      <c r="S92">
        <v>1084</v>
      </c>
      <c r="T92" t="s">
        <v>33</v>
      </c>
      <c r="U92" t="b">
        <v>0</v>
      </c>
    </row>
    <row r="93" spans="1:21">
      <c r="A93">
        <v>92</v>
      </c>
      <c r="B93">
        <v>1092</v>
      </c>
      <c r="C93" t="s">
        <v>193</v>
      </c>
      <c r="D93" t="s">
        <v>22</v>
      </c>
      <c r="E93">
        <v>39</v>
      </c>
      <c r="F93" t="str">
        <f t="shared" si="4"/>
        <v>Adult</v>
      </c>
      <c r="G93" s="2">
        <v>44990</v>
      </c>
      <c r="H93" t="str">
        <f t="shared" si="5"/>
        <v>March</v>
      </c>
      <c r="I93" t="s">
        <v>119</v>
      </c>
      <c r="J93" t="s">
        <v>172</v>
      </c>
      <c r="K93" t="s">
        <v>59</v>
      </c>
      <c r="L93" t="s">
        <v>36</v>
      </c>
      <c r="M93" t="s">
        <v>63</v>
      </c>
      <c r="N93">
        <v>1</v>
      </c>
      <c r="O93" t="s">
        <v>30</v>
      </c>
      <c r="P93">
        <v>370</v>
      </c>
      <c r="Q93" t="s">
        <v>128</v>
      </c>
      <c r="R93" t="s">
        <v>60</v>
      </c>
      <c r="S93">
        <v>1085</v>
      </c>
      <c r="T93" t="s">
        <v>33</v>
      </c>
      <c r="U93" t="b">
        <v>0</v>
      </c>
    </row>
    <row r="94" spans="1:21">
      <c r="A94">
        <v>93</v>
      </c>
      <c r="B94">
        <v>1093</v>
      </c>
      <c r="C94" t="s">
        <v>194</v>
      </c>
      <c r="D94" t="s">
        <v>22</v>
      </c>
      <c r="E94">
        <v>44</v>
      </c>
      <c r="F94" t="str">
        <f t="shared" si="4"/>
        <v>Adult</v>
      </c>
      <c r="G94" s="2">
        <v>44991</v>
      </c>
      <c r="H94" t="str">
        <f t="shared" si="5"/>
        <v>March</v>
      </c>
      <c r="I94" t="s">
        <v>119</v>
      </c>
      <c r="J94" t="s">
        <v>172</v>
      </c>
      <c r="K94" t="s">
        <v>27</v>
      </c>
      <c r="L94" t="s">
        <v>36</v>
      </c>
      <c r="M94" t="s">
        <v>63</v>
      </c>
      <c r="N94">
        <v>1</v>
      </c>
      <c r="O94" t="s">
        <v>30</v>
      </c>
      <c r="P94">
        <v>371</v>
      </c>
      <c r="Q94" t="s">
        <v>128</v>
      </c>
      <c r="R94" t="s">
        <v>64</v>
      </c>
      <c r="S94">
        <v>1086</v>
      </c>
      <c r="T94" t="s">
        <v>33</v>
      </c>
      <c r="U94" t="b">
        <v>0</v>
      </c>
    </row>
    <row r="95" spans="1:21">
      <c r="A95">
        <v>94</v>
      </c>
      <c r="B95">
        <v>1094</v>
      </c>
      <c r="C95" t="s">
        <v>195</v>
      </c>
      <c r="D95" t="s">
        <v>22</v>
      </c>
      <c r="E95">
        <v>49</v>
      </c>
      <c r="F95" t="str">
        <f t="shared" si="4"/>
        <v>Adult</v>
      </c>
      <c r="G95" s="2">
        <v>44992</v>
      </c>
      <c r="H95" t="str">
        <f t="shared" si="5"/>
        <v>March</v>
      </c>
      <c r="I95" t="s">
        <v>119</v>
      </c>
      <c r="J95" t="s">
        <v>172</v>
      </c>
      <c r="K95" t="s">
        <v>35</v>
      </c>
      <c r="L95" t="s">
        <v>36</v>
      </c>
      <c r="M95" t="s">
        <v>63</v>
      </c>
      <c r="N95">
        <v>1</v>
      </c>
      <c r="O95" t="s">
        <v>30</v>
      </c>
      <c r="P95">
        <v>372</v>
      </c>
      <c r="Q95" t="s">
        <v>128</v>
      </c>
      <c r="R95" t="s">
        <v>66</v>
      </c>
      <c r="S95">
        <v>1087</v>
      </c>
      <c r="T95" t="s">
        <v>33</v>
      </c>
      <c r="U95" t="b">
        <v>0</v>
      </c>
    </row>
    <row r="96" spans="1:21">
      <c r="A96">
        <v>95</v>
      </c>
      <c r="B96">
        <v>1095</v>
      </c>
      <c r="C96" t="s">
        <v>196</v>
      </c>
      <c r="D96" t="s">
        <v>22</v>
      </c>
      <c r="E96">
        <v>54</v>
      </c>
      <c r="F96" t="str">
        <f t="shared" si="4"/>
        <v>Senior </v>
      </c>
      <c r="G96" s="2">
        <v>44993</v>
      </c>
      <c r="H96" t="str">
        <f t="shared" si="5"/>
        <v>March</v>
      </c>
      <c r="I96" t="s">
        <v>119</v>
      </c>
      <c r="J96" t="s">
        <v>172</v>
      </c>
      <c r="K96" t="s">
        <v>39</v>
      </c>
      <c r="L96" t="s">
        <v>36</v>
      </c>
      <c r="M96" t="s">
        <v>63</v>
      </c>
      <c r="N96">
        <v>1</v>
      </c>
      <c r="O96" t="s">
        <v>30</v>
      </c>
      <c r="P96">
        <v>373</v>
      </c>
      <c r="Q96" t="s">
        <v>128</v>
      </c>
      <c r="R96" t="s">
        <v>69</v>
      </c>
      <c r="S96">
        <v>1088</v>
      </c>
      <c r="T96" t="s">
        <v>33</v>
      </c>
      <c r="U96" t="b">
        <v>0</v>
      </c>
    </row>
    <row r="97" spans="1:21">
      <c r="A97">
        <v>96</v>
      </c>
      <c r="B97">
        <v>1096</v>
      </c>
      <c r="C97" t="s">
        <v>197</v>
      </c>
      <c r="D97" t="s">
        <v>22</v>
      </c>
      <c r="E97">
        <v>59</v>
      </c>
      <c r="F97" t="str">
        <f t="shared" si="4"/>
        <v>Senior </v>
      </c>
      <c r="G97" s="2">
        <v>44994</v>
      </c>
      <c r="H97" t="str">
        <f t="shared" si="5"/>
        <v>March</v>
      </c>
      <c r="I97" t="s">
        <v>119</v>
      </c>
      <c r="J97" t="s">
        <v>172</v>
      </c>
      <c r="K97" t="s">
        <v>45</v>
      </c>
      <c r="L97" t="s">
        <v>36</v>
      </c>
      <c r="M97" t="s">
        <v>63</v>
      </c>
      <c r="N97">
        <v>1</v>
      </c>
      <c r="O97" t="s">
        <v>30</v>
      </c>
      <c r="P97">
        <v>374</v>
      </c>
      <c r="Q97" t="s">
        <v>128</v>
      </c>
      <c r="R97" t="s">
        <v>71</v>
      </c>
      <c r="S97">
        <v>1089</v>
      </c>
      <c r="T97" t="s">
        <v>33</v>
      </c>
      <c r="U97" t="b">
        <v>0</v>
      </c>
    </row>
    <row r="98" spans="1:21">
      <c r="A98">
        <v>97</v>
      </c>
      <c r="B98">
        <v>1097</v>
      </c>
      <c r="C98" t="s">
        <v>198</v>
      </c>
      <c r="D98" t="s">
        <v>22</v>
      </c>
      <c r="E98">
        <v>64</v>
      </c>
      <c r="F98" t="str">
        <f t="shared" si="4"/>
        <v>Senior </v>
      </c>
      <c r="G98" s="2">
        <v>44995</v>
      </c>
      <c r="H98" t="str">
        <f t="shared" si="5"/>
        <v>March</v>
      </c>
      <c r="I98" t="s">
        <v>119</v>
      </c>
      <c r="J98" t="s">
        <v>172</v>
      </c>
      <c r="K98" t="s">
        <v>49</v>
      </c>
      <c r="L98" t="s">
        <v>36</v>
      </c>
      <c r="M98" t="s">
        <v>63</v>
      </c>
      <c r="N98">
        <v>1</v>
      </c>
      <c r="O98" t="s">
        <v>30</v>
      </c>
      <c r="P98">
        <v>375</v>
      </c>
      <c r="Q98" t="s">
        <v>128</v>
      </c>
      <c r="R98" t="s">
        <v>73</v>
      </c>
      <c r="S98">
        <v>1090</v>
      </c>
      <c r="T98" t="s">
        <v>33</v>
      </c>
      <c r="U98" t="b">
        <v>0</v>
      </c>
    </row>
    <row r="99" spans="1:21">
      <c r="A99">
        <v>98</v>
      </c>
      <c r="B99">
        <v>1098</v>
      </c>
      <c r="C99" t="s">
        <v>199</v>
      </c>
      <c r="D99" t="s">
        <v>22</v>
      </c>
      <c r="E99">
        <v>69</v>
      </c>
      <c r="F99" t="str">
        <f t="shared" ref="F99:F137" si="6">IF(E99&gt;=50,"Senior ",IF(E99&gt;30,"Adult","teen"))</f>
        <v>Senior </v>
      </c>
      <c r="G99" s="2">
        <v>44996</v>
      </c>
      <c r="H99" t="str">
        <f t="shared" ref="H99:H140" si="7">TEXT(G99,"mmmm")</f>
        <v>March</v>
      </c>
      <c r="I99" t="s">
        <v>119</v>
      </c>
      <c r="J99" t="s">
        <v>172</v>
      </c>
      <c r="K99" t="s">
        <v>52</v>
      </c>
      <c r="L99" t="s">
        <v>36</v>
      </c>
      <c r="M99" t="s">
        <v>63</v>
      </c>
      <c r="N99">
        <v>1</v>
      </c>
      <c r="O99" t="s">
        <v>30</v>
      </c>
      <c r="P99">
        <v>376</v>
      </c>
      <c r="Q99" t="s">
        <v>128</v>
      </c>
      <c r="R99" t="s">
        <v>75</v>
      </c>
      <c r="S99">
        <v>1091</v>
      </c>
      <c r="T99" t="s">
        <v>33</v>
      </c>
      <c r="U99" t="b">
        <v>0</v>
      </c>
    </row>
    <row r="100" spans="1:21">
      <c r="A100">
        <v>99</v>
      </c>
      <c r="B100">
        <v>1099</v>
      </c>
      <c r="C100" t="s">
        <v>200</v>
      </c>
      <c r="D100" t="s">
        <v>22</v>
      </c>
      <c r="E100">
        <v>74</v>
      </c>
      <c r="F100" t="str">
        <f t="shared" si="6"/>
        <v>Senior </v>
      </c>
      <c r="G100" s="2">
        <v>44997</v>
      </c>
      <c r="H100" t="str">
        <f t="shared" si="7"/>
        <v>March</v>
      </c>
      <c r="I100" t="s">
        <v>119</v>
      </c>
      <c r="J100" t="s">
        <v>172</v>
      </c>
      <c r="K100" t="s">
        <v>55</v>
      </c>
      <c r="L100" t="s">
        <v>36</v>
      </c>
      <c r="M100" t="s">
        <v>63</v>
      </c>
      <c r="N100">
        <v>1</v>
      </c>
      <c r="O100" t="s">
        <v>30</v>
      </c>
      <c r="P100">
        <v>377</v>
      </c>
      <c r="Q100" t="s">
        <v>128</v>
      </c>
      <c r="R100" t="s">
        <v>77</v>
      </c>
      <c r="S100">
        <v>1092</v>
      </c>
      <c r="T100" t="s">
        <v>33</v>
      </c>
      <c r="U100" t="b">
        <v>0</v>
      </c>
    </row>
    <row r="101" spans="1:21">
      <c r="A101">
        <v>100</v>
      </c>
      <c r="B101">
        <v>1100</v>
      </c>
      <c r="C101" t="s">
        <v>201</v>
      </c>
      <c r="D101" t="s">
        <v>22</v>
      </c>
      <c r="E101">
        <v>79</v>
      </c>
      <c r="F101" t="str">
        <f t="shared" si="6"/>
        <v>Senior </v>
      </c>
      <c r="G101" s="2">
        <v>44998</v>
      </c>
      <c r="H101" t="str">
        <f t="shared" si="7"/>
        <v>March</v>
      </c>
      <c r="I101" t="s">
        <v>119</v>
      </c>
      <c r="J101" t="s">
        <v>172</v>
      </c>
      <c r="K101" t="s">
        <v>59</v>
      </c>
      <c r="L101" t="s">
        <v>36</v>
      </c>
      <c r="M101" t="s">
        <v>144</v>
      </c>
      <c r="N101">
        <v>1</v>
      </c>
      <c r="O101" t="s">
        <v>30</v>
      </c>
      <c r="P101">
        <v>378</v>
      </c>
      <c r="Q101" t="s">
        <v>128</v>
      </c>
      <c r="R101" t="s">
        <v>79</v>
      </c>
      <c r="S101">
        <v>1093</v>
      </c>
      <c r="T101" t="s">
        <v>33</v>
      </c>
      <c r="U101" t="b">
        <v>0</v>
      </c>
    </row>
    <row r="102" spans="1:21">
      <c r="A102">
        <v>101</v>
      </c>
      <c r="B102">
        <v>1101</v>
      </c>
      <c r="C102" t="s">
        <v>202</v>
      </c>
      <c r="D102" t="s">
        <v>22</v>
      </c>
      <c r="F102" t="str">
        <f t="shared" si="6"/>
        <v>teen</v>
      </c>
      <c r="G102" s="2">
        <v>44999</v>
      </c>
      <c r="H102" t="str">
        <f t="shared" si="7"/>
        <v>March</v>
      </c>
      <c r="I102" t="s">
        <v>119</v>
      </c>
      <c r="J102" t="s">
        <v>172</v>
      </c>
      <c r="K102" t="s">
        <v>27</v>
      </c>
      <c r="L102" t="s">
        <v>36</v>
      </c>
      <c r="M102" t="s">
        <v>144</v>
      </c>
      <c r="N102">
        <v>1</v>
      </c>
      <c r="O102" t="s">
        <v>30</v>
      </c>
      <c r="P102">
        <v>379</v>
      </c>
      <c r="Q102" t="s">
        <v>128</v>
      </c>
      <c r="R102" t="s">
        <v>81</v>
      </c>
      <c r="S102">
        <v>1094</v>
      </c>
      <c r="T102" t="s">
        <v>33</v>
      </c>
      <c r="U102" t="b">
        <v>0</v>
      </c>
    </row>
    <row r="103" spans="1:21">
      <c r="A103">
        <v>102</v>
      </c>
      <c r="B103">
        <v>1102</v>
      </c>
      <c r="C103" t="s">
        <v>203</v>
      </c>
      <c r="D103" t="s">
        <v>22</v>
      </c>
      <c r="E103">
        <v>30</v>
      </c>
      <c r="F103" t="str">
        <f t="shared" si="6"/>
        <v>teen</v>
      </c>
      <c r="G103" s="2">
        <v>45000</v>
      </c>
      <c r="H103" t="str">
        <f t="shared" si="7"/>
        <v>March</v>
      </c>
      <c r="I103" t="s">
        <v>119</v>
      </c>
      <c r="J103" t="s">
        <v>172</v>
      </c>
      <c r="K103" t="s">
        <v>35</v>
      </c>
      <c r="L103" t="s">
        <v>36</v>
      </c>
      <c r="M103" t="s">
        <v>144</v>
      </c>
      <c r="N103">
        <v>1</v>
      </c>
      <c r="O103" t="s">
        <v>30</v>
      </c>
      <c r="P103">
        <v>380</v>
      </c>
      <c r="Q103" t="s">
        <v>128</v>
      </c>
      <c r="R103" t="s">
        <v>83</v>
      </c>
      <c r="S103">
        <v>1095</v>
      </c>
      <c r="T103" t="s">
        <v>33</v>
      </c>
      <c r="U103" t="b">
        <v>0</v>
      </c>
    </row>
    <row r="104" spans="1:21">
      <c r="A104">
        <v>103</v>
      </c>
      <c r="B104">
        <v>1103</v>
      </c>
      <c r="C104" t="s">
        <v>204</v>
      </c>
      <c r="D104" t="s">
        <v>22</v>
      </c>
      <c r="E104">
        <v>35</v>
      </c>
      <c r="F104" t="str">
        <f t="shared" si="6"/>
        <v>Adult</v>
      </c>
      <c r="G104" s="2">
        <v>45001</v>
      </c>
      <c r="H104" t="str">
        <f t="shared" si="7"/>
        <v>March</v>
      </c>
      <c r="I104" t="s">
        <v>119</v>
      </c>
      <c r="J104" t="s">
        <v>172</v>
      </c>
      <c r="K104" t="s">
        <v>39</v>
      </c>
      <c r="L104" t="s">
        <v>36</v>
      </c>
      <c r="M104" t="s">
        <v>144</v>
      </c>
      <c r="N104">
        <v>1</v>
      </c>
      <c r="O104" t="s">
        <v>30</v>
      </c>
      <c r="P104">
        <v>381</v>
      </c>
      <c r="Q104" t="s">
        <v>128</v>
      </c>
      <c r="R104" t="s">
        <v>85</v>
      </c>
      <c r="S104">
        <v>1096</v>
      </c>
      <c r="T104" t="s">
        <v>33</v>
      </c>
      <c r="U104" t="b">
        <v>0</v>
      </c>
    </row>
    <row r="105" spans="1:21">
      <c r="A105">
        <v>104</v>
      </c>
      <c r="B105">
        <v>1104</v>
      </c>
      <c r="C105" t="s">
        <v>205</v>
      </c>
      <c r="D105" t="s">
        <v>22</v>
      </c>
      <c r="E105">
        <v>40</v>
      </c>
      <c r="F105" t="str">
        <f t="shared" si="6"/>
        <v>Adult</v>
      </c>
      <c r="G105" s="2">
        <v>45002</v>
      </c>
      <c r="H105" t="str">
        <f t="shared" si="7"/>
        <v>March</v>
      </c>
      <c r="I105" t="s">
        <v>119</v>
      </c>
      <c r="J105" t="s">
        <v>172</v>
      </c>
      <c r="K105" t="s">
        <v>45</v>
      </c>
      <c r="L105" t="s">
        <v>36</v>
      </c>
      <c r="M105" t="s">
        <v>144</v>
      </c>
      <c r="N105">
        <v>1</v>
      </c>
      <c r="O105" t="s">
        <v>30</v>
      </c>
      <c r="P105">
        <v>382</v>
      </c>
      <c r="Q105" t="s">
        <v>128</v>
      </c>
      <c r="R105" t="s">
        <v>87</v>
      </c>
      <c r="S105">
        <v>1097</v>
      </c>
      <c r="T105" t="s">
        <v>33</v>
      </c>
      <c r="U105" t="b">
        <v>0</v>
      </c>
    </row>
    <row r="106" spans="1:21">
      <c r="A106">
        <v>105</v>
      </c>
      <c r="B106">
        <v>1105</v>
      </c>
      <c r="C106" t="s">
        <v>206</v>
      </c>
      <c r="D106" t="s">
        <v>22</v>
      </c>
      <c r="E106">
        <v>45</v>
      </c>
      <c r="F106" t="str">
        <f t="shared" si="6"/>
        <v>Adult</v>
      </c>
      <c r="G106" s="2">
        <v>45003</v>
      </c>
      <c r="H106" t="str">
        <f t="shared" si="7"/>
        <v>March</v>
      </c>
      <c r="I106" t="s">
        <v>119</v>
      </c>
      <c r="J106" t="s">
        <v>172</v>
      </c>
      <c r="K106" t="s">
        <v>49</v>
      </c>
      <c r="L106" t="s">
        <v>36</v>
      </c>
      <c r="M106" t="s">
        <v>144</v>
      </c>
      <c r="N106">
        <v>1</v>
      </c>
      <c r="O106" t="s">
        <v>30</v>
      </c>
      <c r="P106">
        <v>383</v>
      </c>
      <c r="Q106" t="s">
        <v>128</v>
      </c>
      <c r="R106" t="s">
        <v>89</v>
      </c>
      <c r="S106">
        <v>1098</v>
      </c>
      <c r="T106" t="s">
        <v>33</v>
      </c>
      <c r="U106" t="b">
        <v>0</v>
      </c>
    </row>
    <row r="107" spans="1:21">
      <c r="A107">
        <v>106</v>
      </c>
      <c r="B107">
        <v>1106</v>
      </c>
      <c r="C107" t="s">
        <v>207</v>
      </c>
      <c r="D107" t="s">
        <v>22</v>
      </c>
      <c r="E107">
        <v>50</v>
      </c>
      <c r="F107" t="str">
        <f t="shared" si="6"/>
        <v>Senior </v>
      </c>
      <c r="G107" s="2">
        <v>45004</v>
      </c>
      <c r="H107" t="str">
        <f t="shared" si="7"/>
        <v>March</v>
      </c>
      <c r="I107" t="s">
        <v>119</v>
      </c>
      <c r="J107" t="s">
        <v>172</v>
      </c>
      <c r="K107" t="s">
        <v>52</v>
      </c>
      <c r="L107" t="s">
        <v>36</v>
      </c>
      <c r="M107" t="s">
        <v>144</v>
      </c>
      <c r="N107">
        <v>1</v>
      </c>
      <c r="O107" t="s">
        <v>30</v>
      </c>
      <c r="P107">
        <v>384</v>
      </c>
      <c r="Q107" t="s">
        <v>128</v>
      </c>
      <c r="R107" t="s">
        <v>91</v>
      </c>
      <c r="S107">
        <v>1099</v>
      </c>
      <c r="T107" t="s">
        <v>33</v>
      </c>
      <c r="U107" t="b">
        <v>0</v>
      </c>
    </row>
    <row r="108" spans="1:21">
      <c r="A108">
        <v>107</v>
      </c>
      <c r="B108">
        <v>1107</v>
      </c>
      <c r="C108" t="s">
        <v>208</v>
      </c>
      <c r="D108" t="s">
        <v>22</v>
      </c>
      <c r="E108">
        <v>55</v>
      </c>
      <c r="F108" t="str">
        <f t="shared" si="6"/>
        <v>Senior </v>
      </c>
      <c r="G108" s="2">
        <v>45005</v>
      </c>
      <c r="H108" t="str">
        <f t="shared" si="7"/>
        <v>March</v>
      </c>
      <c r="I108" t="s">
        <v>119</v>
      </c>
      <c r="J108" t="s">
        <v>172</v>
      </c>
      <c r="K108" t="s">
        <v>55</v>
      </c>
      <c r="L108" t="s">
        <v>36</v>
      </c>
      <c r="M108" t="s">
        <v>144</v>
      </c>
      <c r="N108">
        <v>1</v>
      </c>
      <c r="O108" t="s">
        <v>30</v>
      </c>
      <c r="P108">
        <v>385</v>
      </c>
      <c r="Q108" t="s">
        <v>128</v>
      </c>
      <c r="R108" t="s">
        <v>93</v>
      </c>
      <c r="S108">
        <v>1100</v>
      </c>
      <c r="T108" t="s">
        <v>33</v>
      </c>
      <c r="U108" t="b">
        <v>0</v>
      </c>
    </row>
    <row r="109" spans="1:21">
      <c r="A109">
        <v>108</v>
      </c>
      <c r="B109">
        <v>1108</v>
      </c>
      <c r="C109" t="s">
        <v>209</v>
      </c>
      <c r="D109" t="s">
        <v>22</v>
      </c>
      <c r="E109">
        <v>60</v>
      </c>
      <c r="F109" t="str">
        <f t="shared" si="6"/>
        <v>Senior </v>
      </c>
      <c r="G109" s="2">
        <v>45006</v>
      </c>
      <c r="H109" t="str">
        <f t="shared" si="7"/>
        <v>March</v>
      </c>
      <c r="I109" t="s">
        <v>119</v>
      </c>
      <c r="J109" t="s">
        <v>172</v>
      </c>
      <c r="K109" t="s">
        <v>59</v>
      </c>
      <c r="L109" t="s">
        <v>36</v>
      </c>
      <c r="M109" t="s">
        <v>144</v>
      </c>
      <c r="N109">
        <v>1</v>
      </c>
      <c r="O109" t="s">
        <v>30</v>
      </c>
      <c r="P109">
        <v>386</v>
      </c>
      <c r="Q109" t="s">
        <v>128</v>
      </c>
      <c r="R109" t="s">
        <v>95</v>
      </c>
      <c r="S109">
        <v>1101</v>
      </c>
      <c r="T109" t="s">
        <v>33</v>
      </c>
      <c r="U109" t="b">
        <v>0</v>
      </c>
    </row>
    <row r="110" spans="1:21">
      <c r="A110">
        <v>109</v>
      </c>
      <c r="B110">
        <v>1109</v>
      </c>
      <c r="C110" t="s">
        <v>210</v>
      </c>
      <c r="D110" t="s">
        <v>22</v>
      </c>
      <c r="E110">
        <v>65</v>
      </c>
      <c r="F110" t="str">
        <f t="shared" si="6"/>
        <v>Senior </v>
      </c>
      <c r="G110" s="2">
        <v>45007</v>
      </c>
      <c r="H110" t="str">
        <f t="shared" si="7"/>
        <v>March</v>
      </c>
      <c r="I110" t="s">
        <v>119</v>
      </c>
      <c r="J110" t="s">
        <v>172</v>
      </c>
      <c r="K110" t="s">
        <v>27</v>
      </c>
      <c r="L110" t="s">
        <v>36</v>
      </c>
      <c r="M110" t="s">
        <v>144</v>
      </c>
      <c r="N110">
        <v>1</v>
      </c>
      <c r="O110" t="s">
        <v>30</v>
      </c>
      <c r="P110">
        <v>387</v>
      </c>
      <c r="Q110" t="s">
        <v>128</v>
      </c>
      <c r="R110" t="s">
        <v>97</v>
      </c>
      <c r="S110">
        <v>1102</v>
      </c>
      <c r="T110" t="s">
        <v>33</v>
      </c>
      <c r="U110" t="b">
        <v>0</v>
      </c>
    </row>
    <row r="111" spans="1:21">
      <c r="A111">
        <v>110</v>
      </c>
      <c r="B111">
        <v>1110</v>
      </c>
      <c r="C111" t="s">
        <v>211</v>
      </c>
      <c r="D111" t="s">
        <v>22</v>
      </c>
      <c r="E111">
        <v>70</v>
      </c>
      <c r="F111" t="str">
        <f t="shared" si="6"/>
        <v>Senior </v>
      </c>
      <c r="G111" s="2">
        <v>45008</v>
      </c>
      <c r="H111" t="str">
        <f t="shared" si="7"/>
        <v>March</v>
      </c>
      <c r="I111" t="s">
        <v>119</v>
      </c>
      <c r="J111" t="s">
        <v>172</v>
      </c>
      <c r="K111" t="s">
        <v>35</v>
      </c>
      <c r="L111" t="s">
        <v>36</v>
      </c>
      <c r="M111" t="s">
        <v>144</v>
      </c>
      <c r="N111">
        <v>1</v>
      </c>
      <c r="O111" t="s">
        <v>30</v>
      </c>
      <c r="P111">
        <v>388</v>
      </c>
      <c r="Q111" t="s">
        <v>128</v>
      </c>
      <c r="R111" t="s">
        <v>99</v>
      </c>
      <c r="S111">
        <v>1103</v>
      </c>
      <c r="T111" t="s">
        <v>33</v>
      </c>
      <c r="U111" t="b">
        <v>0</v>
      </c>
    </row>
    <row r="112" spans="1:21">
      <c r="A112">
        <v>111</v>
      </c>
      <c r="B112">
        <v>1111</v>
      </c>
      <c r="C112" t="s">
        <v>212</v>
      </c>
      <c r="D112" t="s">
        <v>22</v>
      </c>
      <c r="E112">
        <v>75</v>
      </c>
      <c r="F112" t="str">
        <f t="shared" si="6"/>
        <v>Senior </v>
      </c>
      <c r="G112" s="2">
        <v>45009</v>
      </c>
      <c r="H112" t="str">
        <f t="shared" si="7"/>
        <v>March</v>
      </c>
      <c r="I112" t="s">
        <v>119</v>
      </c>
      <c r="J112" t="s">
        <v>213</v>
      </c>
      <c r="K112" t="s">
        <v>39</v>
      </c>
      <c r="L112" t="s">
        <v>36</v>
      </c>
      <c r="M112" t="s">
        <v>144</v>
      </c>
      <c r="N112">
        <v>1</v>
      </c>
      <c r="O112" t="s">
        <v>30</v>
      </c>
      <c r="P112">
        <v>389</v>
      </c>
      <c r="Q112" t="s">
        <v>128</v>
      </c>
      <c r="R112" t="s">
        <v>101</v>
      </c>
      <c r="S112">
        <v>1104</v>
      </c>
      <c r="T112" t="s">
        <v>33</v>
      </c>
      <c r="U112" t="b">
        <v>0</v>
      </c>
    </row>
    <row r="113" spans="1:21">
      <c r="A113">
        <v>112</v>
      </c>
      <c r="B113">
        <v>1112</v>
      </c>
      <c r="C113" t="s">
        <v>214</v>
      </c>
      <c r="D113" t="s">
        <v>22</v>
      </c>
      <c r="E113">
        <v>80</v>
      </c>
      <c r="F113" t="str">
        <f t="shared" si="6"/>
        <v>Senior </v>
      </c>
      <c r="G113" s="2">
        <v>45010</v>
      </c>
      <c r="H113" t="str">
        <f t="shared" si="7"/>
        <v>March</v>
      </c>
      <c r="I113" t="s">
        <v>119</v>
      </c>
      <c r="J113" t="s">
        <v>213</v>
      </c>
      <c r="K113" t="s">
        <v>45</v>
      </c>
      <c r="L113" t="s">
        <v>36</v>
      </c>
      <c r="M113" t="s">
        <v>144</v>
      </c>
      <c r="N113">
        <v>1</v>
      </c>
      <c r="O113" t="s">
        <v>30</v>
      </c>
      <c r="P113">
        <v>390</v>
      </c>
      <c r="Q113" t="s">
        <v>128</v>
      </c>
      <c r="R113" t="s">
        <v>103</v>
      </c>
      <c r="S113">
        <v>1105</v>
      </c>
      <c r="T113" t="s">
        <v>33</v>
      </c>
      <c r="U113" t="b">
        <v>0</v>
      </c>
    </row>
    <row r="114" spans="1:21">
      <c r="A114">
        <v>113</v>
      </c>
      <c r="B114">
        <v>1113</v>
      </c>
      <c r="C114" t="s">
        <v>215</v>
      </c>
      <c r="D114" t="s">
        <v>22</v>
      </c>
      <c r="E114">
        <v>26</v>
      </c>
      <c r="F114" t="str">
        <f t="shared" si="6"/>
        <v>teen</v>
      </c>
      <c r="G114" s="2">
        <v>45011</v>
      </c>
      <c r="H114" t="str">
        <f t="shared" si="7"/>
        <v>March</v>
      </c>
      <c r="I114" t="s">
        <v>119</v>
      </c>
      <c r="J114" t="s">
        <v>213</v>
      </c>
      <c r="K114" t="s">
        <v>49</v>
      </c>
      <c r="L114" t="s">
        <v>36</v>
      </c>
      <c r="M114" t="s">
        <v>144</v>
      </c>
      <c r="N114">
        <v>1</v>
      </c>
      <c r="O114" t="s">
        <v>30</v>
      </c>
      <c r="P114">
        <v>391</v>
      </c>
      <c r="Q114" t="s">
        <v>128</v>
      </c>
      <c r="R114" t="s">
        <v>32</v>
      </c>
      <c r="S114">
        <v>1106</v>
      </c>
      <c r="T114" t="s">
        <v>33</v>
      </c>
      <c r="U114" t="b">
        <v>0</v>
      </c>
    </row>
    <row r="115" spans="1:21">
      <c r="A115">
        <v>114</v>
      </c>
      <c r="B115">
        <v>1114</v>
      </c>
      <c r="C115" t="s">
        <v>216</v>
      </c>
      <c r="D115" t="s">
        <v>22</v>
      </c>
      <c r="E115">
        <v>31</v>
      </c>
      <c r="F115" t="str">
        <f t="shared" si="6"/>
        <v>Adult</v>
      </c>
      <c r="G115" s="2">
        <v>45012</v>
      </c>
      <c r="H115" t="str">
        <f t="shared" si="7"/>
        <v>March</v>
      </c>
      <c r="I115" t="s">
        <v>119</v>
      </c>
      <c r="J115" t="s">
        <v>213</v>
      </c>
      <c r="K115" t="s">
        <v>52</v>
      </c>
      <c r="L115" t="s">
        <v>36</v>
      </c>
      <c r="M115" t="s">
        <v>144</v>
      </c>
      <c r="N115">
        <v>1</v>
      </c>
      <c r="O115" t="s">
        <v>30</v>
      </c>
      <c r="P115">
        <v>392</v>
      </c>
      <c r="Q115" t="s">
        <v>128</v>
      </c>
      <c r="R115" t="s">
        <v>37</v>
      </c>
      <c r="S115">
        <v>1107</v>
      </c>
      <c r="T115" t="s">
        <v>33</v>
      </c>
      <c r="U115" t="b">
        <v>0</v>
      </c>
    </row>
    <row r="116" spans="1:21">
      <c r="A116">
        <v>115</v>
      </c>
      <c r="B116">
        <v>1115</v>
      </c>
      <c r="C116" t="s">
        <v>217</v>
      </c>
      <c r="D116" t="s">
        <v>22</v>
      </c>
      <c r="E116">
        <v>36</v>
      </c>
      <c r="F116" t="str">
        <f t="shared" si="6"/>
        <v>Adult</v>
      </c>
      <c r="G116" s="2">
        <v>45013</v>
      </c>
      <c r="H116" t="str">
        <f t="shared" si="7"/>
        <v>March</v>
      </c>
      <c r="I116" t="s">
        <v>119</v>
      </c>
      <c r="J116" t="s">
        <v>213</v>
      </c>
      <c r="K116" t="s">
        <v>55</v>
      </c>
      <c r="L116" t="s">
        <v>36</v>
      </c>
      <c r="M116" t="s">
        <v>144</v>
      </c>
      <c r="N116">
        <v>1</v>
      </c>
      <c r="O116" t="s">
        <v>30</v>
      </c>
      <c r="P116">
        <v>393</v>
      </c>
      <c r="Q116" t="s">
        <v>128</v>
      </c>
      <c r="R116" t="s">
        <v>41</v>
      </c>
      <c r="S116">
        <v>1108</v>
      </c>
      <c r="T116" t="s">
        <v>33</v>
      </c>
      <c r="U116" t="b">
        <v>0</v>
      </c>
    </row>
    <row r="117" spans="1:21">
      <c r="A117">
        <v>116</v>
      </c>
      <c r="B117">
        <v>1116</v>
      </c>
      <c r="C117" t="s">
        <v>218</v>
      </c>
      <c r="D117" t="s">
        <v>22</v>
      </c>
      <c r="E117">
        <v>41</v>
      </c>
      <c r="F117" t="str">
        <f t="shared" si="6"/>
        <v>Adult</v>
      </c>
      <c r="G117" s="2">
        <v>45014</v>
      </c>
      <c r="H117" t="str">
        <f t="shared" si="7"/>
        <v>March</v>
      </c>
      <c r="I117" t="s">
        <v>119</v>
      </c>
      <c r="J117" t="s">
        <v>213</v>
      </c>
      <c r="K117" t="s">
        <v>59</v>
      </c>
      <c r="L117" t="s">
        <v>28</v>
      </c>
      <c r="M117" t="s">
        <v>144</v>
      </c>
      <c r="N117">
        <v>1</v>
      </c>
      <c r="O117" t="s">
        <v>30</v>
      </c>
      <c r="P117">
        <v>394</v>
      </c>
      <c r="Q117" t="s">
        <v>128</v>
      </c>
      <c r="R117" t="s">
        <v>47</v>
      </c>
      <c r="S117">
        <v>1109</v>
      </c>
      <c r="T117" t="s">
        <v>33</v>
      </c>
      <c r="U117" t="b">
        <v>0</v>
      </c>
    </row>
    <row r="118" spans="1:21">
      <c r="A118">
        <v>117</v>
      </c>
      <c r="B118">
        <v>1117</v>
      </c>
      <c r="C118" t="s">
        <v>219</v>
      </c>
      <c r="D118" t="s">
        <v>22</v>
      </c>
      <c r="E118">
        <v>46</v>
      </c>
      <c r="F118" t="str">
        <f t="shared" si="6"/>
        <v>Adult</v>
      </c>
      <c r="G118" s="2">
        <v>45015</v>
      </c>
      <c r="H118" t="str">
        <f t="shared" si="7"/>
        <v>March</v>
      </c>
      <c r="I118" t="s">
        <v>119</v>
      </c>
      <c r="J118" t="s">
        <v>213</v>
      </c>
      <c r="K118" t="s">
        <v>27</v>
      </c>
      <c r="L118" t="s">
        <v>46</v>
      </c>
      <c r="M118" t="s">
        <v>144</v>
      </c>
      <c r="N118">
        <v>1</v>
      </c>
      <c r="O118" t="s">
        <v>30</v>
      </c>
      <c r="P118">
        <v>395</v>
      </c>
      <c r="Q118" t="s">
        <v>128</v>
      </c>
      <c r="R118" t="s">
        <v>50</v>
      </c>
      <c r="S118">
        <v>1110</v>
      </c>
      <c r="T118" t="s">
        <v>33</v>
      </c>
      <c r="U118" t="b">
        <v>0</v>
      </c>
    </row>
    <row r="119" spans="1:21">
      <c r="A119">
        <v>118</v>
      </c>
      <c r="B119">
        <v>1118</v>
      </c>
      <c r="C119" t="s">
        <v>220</v>
      </c>
      <c r="D119" t="s">
        <v>22</v>
      </c>
      <c r="E119">
        <v>51</v>
      </c>
      <c r="F119" t="str">
        <f t="shared" si="6"/>
        <v>Senior </v>
      </c>
      <c r="G119" s="2">
        <v>45016</v>
      </c>
      <c r="H119" t="str">
        <f t="shared" si="7"/>
        <v>March</v>
      </c>
      <c r="I119" t="s">
        <v>119</v>
      </c>
      <c r="J119" t="s">
        <v>213</v>
      </c>
      <c r="K119" t="s">
        <v>35</v>
      </c>
      <c r="L119" t="s">
        <v>46</v>
      </c>
      <c r="M119" t="s">
        <v>144</v>
      </c>
      <c r="N119">
        <v>1</v>
      </c>
      <c r="O119" t="s">
        <v>30</v>
      </c>
      <c r="P119">
        <v>396</v>
      </c>
      <c r="Q119" t="s">
        <v>128</v>
      </c>
      <c r="R119" t="s">
        <v>53</v>
      </c>
      <c r="S119">
        <v>1111</v>
      </c>
      <c r="T119" t="s">
        <v>33</v>
      </c>
      <c r="U119" t="b">
        <v>0</v>
      </c>
    </row>
    <row r="120" spans="1:21">
      <c r="A120">
        <v>119</v>
      </c>
      <c r="B120">
        <v>1119</v>
      </c>
      <c r="C120" t="s">
        <v>221</v>
      </c>
      <c r="D120" t="s">
        <v>22</v>
      </c>
      <c r="E120">
        <v>56</v>
      </c>
      <c r="F120" t="str">
        <f t="shared" si="6"/>
        <v>Senior </v>
      </c>
      <c r="G120" s="2">
        <v>45017</v>
      </c>
      <c r="H120" t="str">
        <f t="shared" si="7"/>
        <v>April</v>
      </c>
      <c r="I120" t="s">
        <v>119</v>
      </c>
      <c r="J120" t="s">
        <v>213</v>
      </c>
      <c r="K120" t="s">
        <v>39</v>
      </c>
      <c r="L120" t="s">
        <v>46</v>
      </c>
      <c r="M120" t="s">
        <v>144</v>
      </c>
      <c r="N120">
        <v>1</v>
      </c>
      <c r="O120" t="s">
        <v>30</v>
      </c>
      <c r="P120">
        <v>397</v>
      </c>
      <c r="Q120" t="s">
        <v>128</v>
      </c>
      <c r="R120" t="s">
        <v>56</v>
      </c>
      <c r="S120">
        <v>1112</v>
      </c>
      <c r="T120" t="s">
        <v>33</v>
      </c>
      <c r="U120" t="b">
        <v>0</v>
      </c>
    </row>
    <row r="121" spans="1:21">
      <c r="A121">
        <v>120</v>
      </c>
      <c r="B121">
        <v>1120</v>
      </c>
      <c r="C121" t="s">
        <v>222</v>
      </c>
      <c r="D121" t="s">
        <v>22</v>
      </c>
      <c r="E121">
        <v>61</v>
      </c>
      <c r="F121" t="str">
        <f t="shared" si="6"/>
        <v>Senior </v>
      </c>
      <c r="G121" s="2">
        <v>45018</v>
      </c>
      <c r="H121" t="str">
        <f t="shared" si="7"/>
        <v>April</v>
      </c>
      <c r="I121" t="s">
        <v>119</v>
      </c>
      <c r="J121" t="s">
        <v>213</v>
      </c>
      <c r="K121" t="s">
        <v>45</v>
      </c>
      <c r="L121" t="s">
        <v>46</v>
      </c>
      <c r="M121" t="s">
        <v>144</v>
      </c>
      <c r="N121">
        <v>1</v>
      </c>
      <c r="O121" t="s">
        <v>30</v>
      </c>
      <c r="P121">
        <v>398</v>
      </c>
      <c r="Q121" t="s">
        <v>128</v>
      </c>
      <c r="R121" t="s">
        <v>60</v>
      </c>
      <c r="S121">
        <v>1113</v>
      </c>
      <c r="T121" t="s">
        <v>33</v>
      </c>
      <c r="U121" t="b">
        <v>0</v>
      </c>
    </row>
    <row r="122" spans="1:21">
      <c r="A122">
        <v>121</v>
      </c>
      <c r="B122">
        <v>1121</v>
      </c>
      <c r="C122" t="s">
        <v>223</v>
      </c>
      <c r="D122" t="s">
        <v>22</v>
      </c>
      <c r="E122">
        <v>66</v>
      </c>
      <c r="F122" t="str">
        <f t="shared" si="6"/>
        <v>Senior </v>
      </c>
      <c r="G122" s="2">
        <v>45019</v>
      </c>
      <c r="H122" t="str">
        <f t="shared" si="7"/>
        <v>April</v>
      </c>
      <c r="I122" t="s">
        <v>119</v>
      </c>
      <c r="J122" t="s">
        <v>213</v>
      </c>
      <c r="K122" t="s">
        <v>49</v>
      </c>
      <c r="L122" t="s">
        <v>46</v>
      </c>
      <c r="M122" t="s">
        <v>144</v>
      </c>
      <c r="N122">
        <v>1</v>
      </c>
      <c r="O122" t="s">
        <v>30</v>
      </c>
      <c r="P122">
        <v>399</v>
      </c>
      <c r="Q122" t="s">
        <v>128</v>
      </c>
      <c r="R122" t="s">
        <v>64</v>
      </c>
      <c r="S122">
        <v>1114</v>
      </c>
      <c r="T122" t="s">
        <v>33</v>
      </c>
      <c r="U122" t="b">
        <v>0</v>
      </c>
    </row>
    <row r="123" spans="1:21">
      <c r="A123">
        <v>122</v>
      </c>
      <c r="B123">
        <v>1122</v>
      </c>
      <c r="C123" t="s">
        <v>224</v>
      </c>
      <c r="D123" t="s">
        <v>22</v>
      </c>
      <c r="E123">
        <v>71</v>
      </c>
      <c r="F123" t="str">
        <f t="shared" si="6"/>
        <v>Senior </v>
      </c>
      <c r="G123" s="2">
        <v>45020</v>
      </c>
      <c r="H123" t="str">
        <f t="shared" si="7"/>
        <v>April</v>
      </c>
      <c r="I123" t="s">
        <v>119</v>
      </c>
      <c r="J123" t="s">
        <v>213</v>
      </c>
      <c r="K123" t="s">
        <v>52</v>
      </c>
      <c r="L123" t="s">
        <v>46</v>
      </c>
      <c r="M123" t="s">
        <v>144</v>
      </c>
      <c r="N123">
        <v>1</v>
      </c>
      <c r="O123" t="s">
        <v>30</v>
      </c>
      <c r="P123">
        <v>400</v>
      </c>
      <c r="Q123" t="s">
        <v>128</v>
      </c>
      <c r="R123" t="s">
        <v>66</v>
      </c>
      <c r="S123">
        <v>1115</v>
      </c>
      <c r="T123" t="s">
        <v>33</v>
      </c>
      <c r="U123" t="b">
        <v>0</v>
      </c>
    </row>
    <row r="124" spans="1:21">
      <c r="A124">
        <v>123</v>
      </c>
      <c r="B124">
        <v>1123</v>
      </c>
      <c r="C124" t="s">
        <v>225</v>
      </c>
      <c r="D124" t="s">
        <v>22</v>
      </c>
      <c r="E124">
        <v>76</v>
      </c>
      <c r="F124" t="str">
        <f t="shared" si="6"/>
        <v>Senior </v>
      </c>
      <c r="G124" s="2">
        <v>45021</v>
      </c>
      <c r="H124" t="str">
        <f t="shared" si="7"/>
        <v>April</v>
      </c>
      <c r="I124" t="s">
        <v>119</v>
      </c>
      <c r="J124" t="s">
        <v>213</v>
      </c>
      <c r="K124" t="s">
        <v>55</v>
      </c>
      <c r="L124" t="s">
        <v>46</v>
      </c>
      <c r="M124" t="s">
        <v>144</v>
      </c>
      <c r="N124">
        <v>1</v>
      </c>
      <c r="O124" t="s">
        <v>30</v>
      </c>
      <c r="P124">
        <v>401</v>
      </c>
      <c r="Q124" t="s">
        <v>128</v>
      </c>
      <c r="R124" t="s">
        <v>69</v>
      </c>
      <c r="S124">
        <v>1116</v>
      </c>
      <c r="T124" t="s">
        <v>33</v>
      </c>
      <c r="U124" t="b">
        <v>0</v>
      </c>
    </row>
    <row r="125" spans="1:21">
      <c r="A125">
        <v>124</v>
      </c>
      <c r="B125">
        <v>1124</v>
      </c>
      <c r="C125" t="s">
        <v>226</v>
      </c>
      <c r="D125" t="s">
        <v>22</v>
      </c>
      <c r="E125">
        <v>27</v>
      </c>
      <c r="F125" t="str">
        <f t="shared" si="6"/>
        <v>teen</v>
      </c>
      <c r="G125" s="2">
        <v>45022</v>
      </c>
      <c r="H125" t="str">
        <f t="shared" si="7"/>
        <v>April</v>
      </c>
      <c r="I125" t="s">
        <v>119</v>
      </c>
      <c r="J125" t="s">
        <v>213</v>
      </c>
      <c r="K125" t="s">
        <v>59</v>
      </c>
      <c r="L125" t="s">
        <v>46</v>
      </c>
      <c r="M125" t="s">
        <v>144</v>
      </c>
      <c r="N125">
        <v>1</v>
      </c>
      <c r="O125" t="s">
        <v>30</v>
      </c>
      <c r="P125">
        <v>402</v>
      </c>
      <c r="Q125" t="s">
        <v>128</v>
      </c>
      <c r="R125" t="s">
        <v>71</v>
      </c>
      <c r="S125">
        <v>1117</v>
      </c>
      <c r="T125" t="s">
        <v>33</v>
      </c>
      <c r="U125" t="b">
        <v>0</v>
      </c>
    </row>
    <row r="126" spans="1:21">
      <c r="A126">
        <v>125</v>
      </c>
      <c r="B126">
        <v>1125</v>
      </c>
      <c r="C126" t="s">
        <v>227</v>
      </c>
      <c r="D126" t="s">
        <v>22</v>
      </c>
      <c r="E126">
        <v>32</v>
      </c>
      <c r="F126" t="str">
        <f t="shared" si="6"/>
        <v>Adult</v>
      </c>
      <c r="G126" s="2">
        <v>45023</v>
      </c>
      <c r="H126" t="str">
        <f t="shared" si="7"/>
        <v>April</v>
      </c>
      <c r="I126" t="s">
        <v>119</v>
      </c>
      <c r="J126" t="s">
        <v>213</v>
      </c>
      <c r="K126" t="s">
        <v>27</v>
      </c>
      <c r="L126" t="s">
        <v>46</v>
      </c>
      <c r="M126" t="s">
        <v>144</v>
      </c>
      <c r="N126">
        <v>1</v>
      </c>
      <c r="O126" t="s">
        <v>30</v>
      </c>
      <c r="P126">
        <v>403</v>
      </c>
      <c r="Q126" t="s">
        <v>128</v>
      </c>
      <c r="R126" t="s">
        <v>73</v>
      </c>
      <c r="S126">
        <v>1118</v>
      </c>
      <c r="T126" t="s">
        <v>33</v>
      </c>
      <c r="U126" t="b">
        <v>0</v>
      </c>
    </row>
    <row r="127" spans="1:21">
      <c r="A127">
        <v>126</v>
      </c>
      <c r="B127">
        <v>1126</v>
      </c>
      <c r="C127" t="s">
        <v>228</v>
      </c>
      <c r="D127" t="s">
        <v>22</v>
      </c>
      <c r="E127">
        <v>37</v>
      </c>
      <c r="F127" t="str">
        <f t="shared" si="6"/>
        <v>Adult</v>
      </c>
      <c r="G127" s="2">
        <v>45024</v>
      </c>
      <c r="H127" t="str">
        <f t="shared" si="7"/>
        <v>April</v>
      </c>
      <c r="I127" t="s">
        <v>119</v>
      </c>
      <c r="J127" t="s">
        <v>213</v>
      </c>
      <c r="K127" t="s">
        <v>35</v>
      </c>
      <c r="L127" t="s">
        <v>46</v>
      </c>
      <c r="M127" t="s">
        <v>144</v>
      </c>
      <c r="N127">
        <v>1</v>
      </c>
      <c r="O127" t="s">
        <v>30</v>
      </c>
      <c r="P127">
        <v>404</v>
      </c>
      <c r="Q127" t="s">
        <v>128</v>
      </c>
      <c r="R127" t="s">
        <v>75</v>
      </c>
      <c r="S127">
        <v>1119</v>
      </c>
      <c r="T127" t="s">
        <v>33</v>
      </c>
      <c r="U127" t="b">
        <v>0</v>
      </c>
    </row>
    <row r="128" spans="1:21">
      <c r="A128">
        <v>127</v>
      </c>
      <c r="B128">
        <v>1127</v>
      </c>
      <c r="C128" t="s">
        <v>229</v>
      </c>
      <c r="D128" t="s">
        <v>22</v>
      </c>
      <c r="E128">
        <v>42</v>
      </c>
      <c r="F128" t="str">
        <f t="shared" si="6"/>
        <v>Adult</v>
      </c>
      <c r="G128" s="2">
        <v>45025</v>
      </c>
      <c r="H128" t="str">
        <f t="shared" si="7"/>
        <v>April</v>
      </c>
      <c r="I128" t="s">
        <v>119</v>
      </c>
      <c r="J128" t="s">
        <v>213</v>
      </c>
      <c r="K128" t="s">
        <v>39</v>
      </c>
      <c r="L128" t="s">
        <v>46</v>
      </c>
      <c r="M128" t="s">
        <v>144</v>
      </c>
      <c r="N128">
        <v>1</v>
      </c>
      <c r="O128" t="s">
        <v>30</v>
      </c>
      <c r="P128">
        <v>405</v>
      </c>
      <c r="Q128" t="s">
        <v>128</v>
      </c>
      <c r="R128" t="s">
        <v>77</v>
      </c>
      <c r="S128">
        <v>1120</v>
      </c>
      <c r="T128" t="s">
        <v>33</v>
      </c>
      <c r="U128" t="b">
        <v>0</v>
      </c>
    </row>
    <row r="129" spans="1:21">
      <c r="A129">
        <v>128</v>
      </c>
      <c r="B129">
        <v>1128</v>
      </c>
      <c r="C129" t="s">
        <v>230</v>
      </c>
      <c r="D129" t="s">
        <v>22</v>
      </c>
      <c r="E129">
        <v>47</v>
      </c>
      <c r="F129" t="str">
        <f t="shared" si="6"/>
        <v>Adult</v>
      </c>
      <c r="G129" s="2">
        <v>45026</v>
      </c>
      <c r="H129" t="str">
        <f t="shared" si="7"/>
        <v>April</v>
      </c>
      <c r="I129" t="s">
        <v>119</v>
      </c>
      <c r="J129" t="s">
        <v>213</v>
      </c>
      <c r="K129" t="s">
        <v>45</v>
      </c>
      <c r="L129" t="s">
        <v>46</v>
      </c>
      <c r="M129" t="s">
        <v>144</v>
      </c>
      <c r="N129">
        <v>1</v>
      </c>
      <c r="O129" t="s">
        <v>30</v>
      </c>
      <c r="P129">
        <v>406</v>
      </c>
      <c r="Q129" t="s">
        <v>128</v>
      </c>
      <c r="R129" t="s">
        <v>79</v>
      </c>
      <c r="S129">
        <v>1121</v>
      </c>
      <c r="T129" t="s">
        <v>33</v>
      </c>
      <c r="U129" t="b">
        <v>0</v>
      </c>
    </row>
    <row r="130" spans="1:21">
      <c r="A130">
        <v>129</v>
      </c>
      <c r="B130">
        <v>1129</v>
      </c>
      <c r="C130" t="s">
        <v>231</v>
      </c>
      <c r="D130" t="s">
        <v>22</v>
      </c>
      <c r="E130">
        <v>52</v>
      </c>
      <c r="F130" t="str">
        <f t="shared" si="6"/>
        <v>Senior </v>
      </c>
      <c r="G130" s="2">
        <v>45027</v>
      </c>
      <c r="H130" t="str">
        <f t="shared" si="7"/>
        <v>April</v>
      </c>
      <c r="I130" t="s">
        <v>119</v>
      </c>
      <c r="J130" t="s">
        <v>213</v>
      </c>
      <c r="K130" t="s">
        <v>49</v>
      </c>
      <c r="L130" t="s">
        <v>46</v>
      </c>
      <c r="M130" t="s">
        <v>144</v>
      </c>
      <c r="N130">
        <v>1</v>
      </c>
      <c r="O130" t="s">
        <v>30</v>
      </c>
      <c r="P130">
        <v>407</v>
      </c>
      <c r="Q130" t="s">
        <v>128</v>
      </c>
      <c r="R130" t="s">
        <v>81</v>
      </c>
      <c r="S130">
        <v>1122</v>
      </c>
      <c r="T130" t="s">
        <v>33</v>
      </c>
      <c r="U130" t="b">
        <v>0</v>
      </c>
    </row>
    <row r="131" spans="1:21">
      <c r="A131">
        <v>130</v>
      </c>
      <c r="B131">
        <v>1130</v>
      </c>
      <c r="C131" t="s">
        <v>232</v>
      </c>
      <c r="D131" t="s">
        <v>22</v>
      </c>
      <c r="E131">
        <v>57</v>
      </c>
      <c r="F131" t="str">
        <f t="shared" si="6"/>
        <v>Senior </v>
      </c>
      <c r="G131" s="2">
        <v>45028</v>
      </c>
      <c r="H131" t="str">
        <f t="shared" si="7"/>
        <v>April</v>
      </c>
      <c r="I131" t="s">
        <v>119</v>
      </c>
      <c r="J131" t="s">
        <v>213</v>
      </c>
      <c r="K131" t="s">
        <v>52</v>
      </c>
      <c r="L131" t="s">
        <v>46</v>
      </c>
      <c r="M131" t="s">
        <v>144</v>
      </c>
      <c r="N131">
        <v>1</v>
      </c>
      <c r="O131" t="s">
        <v>30</v>
      </c>
      <c r="P131">
        <v>408</v>
      </c>
      <c r="Q131" t="s">
        <v>128</v>
      </c>
      <c r="R131" t="s">
        <v>83</v>
      </c>
      <c r="S131">
        <v>1123</v>
      </c>
      <c r="T131" t="s">
        <v>33</v>
      </c>
      <c r="U131" t="b">
        <v>0</v>
      </c>
    </row>
    <row r="132" spans="1:21">
      <c r="A132">
        <v>131</v>
      </c>
      <c r="B132">
        <v>1131</v>
      </c>
      <c r="C132" t="s">
        <v>233</v>
      </c>
      <c r="D132" t="s">
        <v>22</v>
      </c>
      <c r="E132">
        <v>62</v>
      </c>
      <c r="F132" t="str">
        <f t="shared" si="6"/>
        <v>Senior </v>
      </c>
      <c r="G132" s="2">
        <v>45029</v>
      </c>
      <c r="H132" t="str">
        <f t="shared" si="7"/>
        <v>April</v>
      </c>
      <c r="I132" t="s">
        <v>119</v>
      </c>
      <c r="J132" t="s">
        <v>213</v>
      </c>
      <c r="K132" t="s">
        <v>55</v>
      </c>
      <c r="L132" t="s">
        <v>46</v>
      </c>
      <c r="M132" t="s">
        <v>144</v>
      </c>
      <c r="N132">
        <v>1</v>
      </c>
      <c r="O132" t="s">
        <v>30</v>
      </c>
      <c r="P132">
        <v>409</v>
      </c>
      <c r="Q132" t="s">
        <v>128</v>
      </c>
      <c r="R132" t="s">
        <v>85</v>
      </c>
      <c r="S132">
        <v>1124</v>
      </c>
      <c r="T132" t="s">
        <v>33</v>
      </c>
      <c r="U132" t="b">
        <v>0</v>
      </c>
    </row>
    <row r="133" spans="1:21">
      <c r="A133">
        <v>132</v>
      </c>
      <c r="B133">
        <v>1132</v>
      </c>
      <c r="C133" t="s">
        <v>234</v>
      </c>
      <c r="D133" t="s">
        <v>22</v>
      </c>
      <c r="E133">
        <v>67</v>
      </c>
      <c r="F133" t="str">
        <f t="shared" si="6"/>
        <v>Senior </v>
      </c>
      <c r="G133" s="2">
        <v>45030</v>
      </c>
      <c r="H133" t="str">
        <f t="shared" si="7"/>
        <v>April</v>
      </c>
      <c r="I133" t="s">
        <v>119</v>
      </c>
      <c r="J133" t="s">
        <v>213</v>
      </c>
      <c r="K133" t="s">
        <v>59</v>
      </c>
      <c r="L133" t="s">
        <v>46</v>
      </c>
      <c r="M133" t="s">
        <v>144</v>
      </c>
      <c r="N133">
        <v>1</v>
      </c>
      <c r="O133" t="s">
        <v>30</v>
      </c>
      <c r="P133">
        <v>410</v>
      </c>
      <c r="Q133" t="s">
        <v>128</v>
      </c>
      <c r="R133" t="s">
        <v>87</v>
      </c>
      <c r="S133">
        <v>1125</v>
      </c>
      <c r="T133" t="s">
        <v>33</v>
      </c>
      <c r="U133" t="b">
        <v>0</v>
      </c>
    </row>
    <row r="134" spans="1:21">
      <c r="A134">
        <v>133</v>
      </c>
      <c r="B134">
        <v>1133</v>
      </c>
      <c r="C134" t="s">
        <v>235</v>
      </c>
      <c r="D134" t="s">
        <v>22</v>
      </c>
      <c r="E134">
        <v>72</v>
      </c>
      <c r="F134" t="str">
        <f t="shared" si="6"/>
        <v>Senior </v>
      </c>
      <c r="G134" s="2">
        <v>45031</v>
      </c>
      <c r="H134" t="str">
        <f t="shared" si="7"/>
        <v>April</v>
      </c>
      <c r="I134" t="s">
        <v>119</v>
      </c>
      <c r="J134" t="s">
        <v>213</v>
      </c>
      <c r="K134" t="s">
        <v>27</v>
      </c>
      <c r="L134" t="s">
        <v>46</v>
      </c>
      <c r="M134" t="s">
        <v>144</v>
      </c>
      <c r="N134">
        <v>1</v>
      </c>
      <c r="O134" t="s">
        <v>30</v>
      </c>
      <c r="P134">
        <v>411</v>
      </c>
      <c r="Q134" t="s">
        <v>128</v>
      </c>
      <c r="R134" t="s">
        <v>89</v>
      </c>
      <c r="S134">
        <v>1126</v>
      </c>
      <c r="T134" t="s">
        <v>33</v>
      </c>
      <c r="U134" t="b">
        <v>0</v>
      </c>
    </row>
    <row r="135" spans="1:21">
      <c r="A135">
        <v>134</v>
      </c>
      <c r="B135">
        <v>1134</v>
      </c>
      <c r="C135" t="s">
        <v>236</v>
      </c>
      <c r="D135" t="s">
        <v>22</v>
      </c>
      <c r="E135">
        <v>77</v>
      </c>
      <c r="F135" t="str">
        <f t="shared" si="6"/>
        <v>Senior </v>
      </c>
      <c r="G135" s="2">
        <v>45032</v>
      </c>
      <c r="H135" t="str">
        <f t="shared" si="7"/>
        <v>April</v>
      </c>
      <c r="I135" t="s">
        <v>119</v>
      </c>
      <c r="J135" t="s">
        <v>213</v>
      </c>
      <c r="K135" t="s">
        <v>35</v>
      </c>
      <c r="L135" t="s">
        <v>46</v>
      </c>
      <c r="M135" t="s">
        <v>144</v>
      </c>
      <c r="N135">
        <v>1</v>
      </c>
      <c r="O135" t="s">
        <v>30</v>
      </c>
      <c r="P135">
        <v>412</v>
      </c>
      <c r="Q135" t="s">
        <v>128</v>
      </c>
      <c r="R135" t="s">
        <v>91</v>
      </c>
      <c r="S135">
        <v>1127</v>
      </c>
      <c r="T135" t="s">
        <v>33</v>
      </c>
      <c r="U135" t="b">
        <v>0</v>
      </c>
    </row>
    <row r="136" spans="1:21">
      <c r="A136">
        <v>135</v>
      </c>
      <c r="B136">
        <v>1135</v>
      </c>
      <c r="C136" t="s">
        <v>237</v>
      </c>
      <c r="D136" t="s">
        <v>22</v>
      </c>
      <c r="E136">
        <v>28</v>
      </c>
      <c r="F136" t="str">
        <f t="shared" si="6"/>
        <v>teen</v>
      </c>
      <c r="G136" s="2">
        <v>45033</v>
      </c>
      <c r="H136" t="str">
        <f t="shared" si="7"/>
        <v>April</v>
      </c>
      <c r="I136" t="s">
        <v>119</v>
      </c>
      <c r="J136" t="s">
        <v>213</v>
      </c>
      <c r="K136" t="s">
        <v>39</v>
      </c>
      <c r="L136" t="s">
        <v>46</v>
      </c>
      <c r="M136" t="s">
        <v>144</v>
      </c>
      <c r="N136">
        <v>1</v>
      </c>
      <c r="O136" t="s">
        <v>30</v>
      </c>
      <c r="P136">
        <v>413</v>
      </c>
      <c r="Q136" t="s">
        <v>128</v>
      </c>
      <c r="R136" t="s">
        <v>93</v>
      </c>
      <c r="S136">
        <v>1128</v>
      </c>
      <c r="T136" t="s">
        <v>33</v>
      </c>
      <c r="U136" t="b">
        <v>0</v>
      </c>
    </row>
    <row r="137" spans="1:21">
      <c r="A137">
        <v>136</v>
      </c>
      <c r="B137">
        <v>1136</v>
      </c>
      <c r="C137" t="s">
        <v>238</v>
      </c>
      <c r="D137" t="s">
        <v>22</v>
      </c>
      <c r="E137">
        <v>33</v>
      </c>
      <c r="F137" t="str">
        <f t="shared" si="6"/>
        <v>Adult</v>
      </c>
      <c r="G137" s="2">
        <v>45034</v>
      </c>
      <c r="H137" t="str">
        <f t="shared" si="7"/>
        <v>April</v>
      </c>
      <c r="I137" t="s">
        <v>119</v>
      </c>
      <c r="J137" t="s">
        <v>213</v>
      </c>
      <c r="K137" t="s">
        <v>45</v>
      </c>
      <c r="L137" t="s">
        <v>46</v>
      </c>
      <c r="M137" t="s">
        <v>144</v>
      </c>
      <c r="N137">
        <v>1</v>
      </c>
      <c r="O137" t="s">
        <v>30</v>
      </c>
      <c r="P137">
        <v>414</v>
      </c>
      <c r="Q137" t="s">
        <v>128</v>
      </c>
      <c r="R137" t="s">
        <v>95</v>
      </c>
      <c r="S137">
        <v>1129</v>
      </c>
      <c r="T137" t="s">
        <v>33</v>
      </c>
      <c r="U137" t="b">
        <v>0</v>
      </c>
    </row>
    <row r="138" spans="1:21">
      <c r="G138" s="2"/>
      <c r="K138" s="3"/>
      <c r="S138" s="4"/>
      <c r="T138" s="5"/>
      <c r="U138" s="6"/>
    </row>
    <row r="139" spans="1:21">
      <c r="G139" s="2"/>
      <c r="S139" s="7"/>
      <c r="T139" s="8"/>
      <c r="U139" s="9"/>
    </row>
    <row r="140" spans="1:21">
      <c r="G140" s="2"/>
      <c r="S140" s="7"/>
      <c r="T140" s="8"/>
      <c r="U140" s="9"/>
    </row>
    <row r="141" spans="1:21">
      <c r="S141" s="7"/>
      <c r="T141" s="8"/>
      <c r="U141" s="9"/>
    </row>
    <row r="142" spans="1:21">
      <c r="S142" s="7"/>
      <c r="T142" s="8"/>
      <c r="U142" s="9"/>
    </row>
    <row r="143" spans="1:21">
      <c r="S143" s="7"/>
      <c r="T143" s="8"/>
      <c r="U143" s="9"/>
    </row>
    <row r="144" spans="1:21">
      <c r="S144" s="7"/>
      <c r="T144" s="8"/>
      <c r="U144" s="9"/>
    </row>
    <row r="145" spans="19:21">
      <c r="S145" s="7"/>
      <c r="T145" s="8"/>
      <c r="U145" s="9"/>
    </row>
    <row r="146" spans="19:21">
      <c r="S146" s="7"/>
      <c r="T146" s="8"/>
      <c r="U146" s="9"/>
    </row>
    <row r="147" spans="19:21">
      <c r="S147" s="7"/>
      <c r="T147" s="8"/>
      <c r="U147" s="9"/>
    </row>
    <row r="148" spans="19:21">
      <c r="S148" s="7"/>
      <c r="T148" s="8"/>
      <c r="U148" s="9"/>
    </row>
    <row r="149" spans="19:21">
      <c r="S149" s="7"/>
      <c r="T149" s="8"/>
      <c r="U149" s="9"/>
    </row>
    <row r="150" spans="19:21">
      <c r="S150" s="7"/>
      <c r="T150" s="8"/>
      <c r="U150" s="9"/>
    </row>
    <row r="151" spans="19:21">
      <c r="S151" s="7"/>
      <c r="T151" s="8"/>
      <c r="U151" s="9"/>
    </row>
    <row r="152" spans="19:21">
      <c r="S152" s="7"/>
      <c r="T152" s="8"/>
      <c r="U152" s="9"/>
    </row>
    <row r="153" spans="19:21">
      <c r="S153" s="7"/>
      <c r="T153" s="8"/>
      <c r="U153" s="9"/>
    </row>
    <row r="154" spans="19:21">
      <c r="S154" s="7"/>
      <c r="T154" s="8"/>
      <c r="U154" s="9"/>
    </row>
    <row r="155" spans="19:21">
      <c r="S155" s="10"/>
      <c r="T155" s="11"/>
      <c r="U155" s="12"/>
    </row>
  </sheetData>
  <autoFilter xmlns:etc="http://www.wps.cn/officeDocument/2017/etCustomData" ref="B1:U146" etc:filterBottomFollowUsedRange="0">
    <extLst/>
  </autoFilter>
  <pageMargins left="0.75" right="0.75" top="1" bottom="1" header="0.5" footer="0.5"/>
  <headerFooter/>
  <drawing r:id="rId2"/>
  <legacyDrawing r:id="rId3"/>
  <controls>
    <mc:AlternateContent xmlns:mc="http://schemas.openxmlformats.org/markup-compatibility/2006">
      <mc:Choice Requires="x14">
        <control shapeId="1025" r:id="rId4">
          <controlPr defaultSize="0">
            <anchor moveWithCells="1">
              <from>
                <xdr:col>17</xdr:col>
                <xdr:colOff>0</xdr:colOff>
                <xdr:row>35</xdr:row>
                <xdr:rowOff>0</xdr:rowOff>
              </from>
              <to>
                <xdr:col>17</xdr:col>
                <xdr:colOff>971550</xdr:colOff>
                <xdr:row>36</xdr:row>
                <xdr:rowOff>0</xdr:rowOff>
              </to>
            </anchor>
          </controlPr>
        </control>
      </mc:Choice>
      <mc:Fallback>
        <control shapeId="1025" r:id="rId4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D2"/>
  <sheetViews>
    <sheetView showGridLines="0" workbookViewId="0">
      <selection activeCell="A1" sqref="$A1:$XFD1"/>
    </sheetView>
  </sheetViews>
  <sheetFormatPr defaultColWidth="9.14285714285714" defaultRowHeight="15" outlineLevelRow="1" outlineLevelCol="3"/>
  <sheetData>
    <row r="2" ht="31.5" spans="3:4">
      <c r="C2" s="1" t="s">
        <v>239</v>
      </c>
      <c r="D2" s="1"/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4"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Sheet2</vt:lpstr>
      <vt:lpstr>compare sales and order</vt:lpstr>
      <vt:lpstr>men vs women</vt:lpstr>
      <vt:lpstr>project dataset</vt:lpstr>
      <vt:lpstr>Dasboard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Mahalakshmi</dc:creator>
  <cp:lastModifiedBy>Mahalakshmi</cp:lastModifiedBy>
  <dcterms:created xsi:type="dcterms:W3CDTF">2026-05-04T05:25:00Z</dcterms:created>
  <dcterms:modified xsi:type="dcterms:W3CDTF">2026-09-16T18:01:59Z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D68BE8233A584326BFAF076FA73B2926_13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